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ia-me" sheetId="1" state="visible" r:id="rId1"/>
    <sheet name="Provas" sheetId="2" state="visible" r:id="rId2"/>
    <sheet name="Resumo" sheetId="3" state="visible" r:id="rId3"/>
  </sheets>
  <definedNames>
    <definedName name="_xlnm._FilterDatabase" localSheetId="1" hidden="1">'Provas'!$A$3:$I$69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Georgia"/>
      <b val="1"/>
      <color rgb="001C231F"/>
      <sz val="18"/>
    </font>
    <font>
      <color rgb="005C665F"/>
      <sz val="11"/>
    </font>
    <font>
      <b val="1"/>
      <color rgb="0020514D"/>
      <sz val="13"/>
    </font>
    <font>
      <color rgb="001C231F"/>
      <sz val="10.5"/>
    </font>
    <font>
      <i val="1"/>
      <color rgb="005C665F"/>
      <sz val="9.5"/>
    </font>
    <font>
      <name val="Georgia"/>
      <b val="1"/>
      <color rgb="00FFFFFF"/>
      <sz val="16"/>
    </font>
    <font>
      <name val="Calibri"/>
      <i val="1"/>
      <color rgb="005C665F"/>
      <sz val="10"/>
    </font>
    <font>
      <name val="Calibri"/>
      <b val="1"/>
      <color rgb="00FFFFFF"/>
      <sz val="10"/>
    </font>
    <font>
      <name val="Calibri"/>
      <b val="1"/>
      <color rgb="002C4A86"/>
      <sz val="10"/>
    </font>
    <font>
      <name val="Calibri"/>
      <color rgb="001C231F"/>
      <sz val="10"/>
    </font>
    <font>
      <name val="Calibri"/>
      <b val="1"/>
      <color rgb="001C231F"/>
      <sz val="10"/>
    </font>
    <font>
      <name val="Calibri"/>
      <color rgb="005C665F"/>
      <sz val="10"/>
    </font>
    <font>
      <name val="Calibri"/>
      <color rgb="001155CC"/>
      <sz val="10"/>
      <u val="single"/>
    </font>
    <font>
      <name val="Calibri"/>
      <b val="1"/>
      <color rgb="001C231F"/>
      <sz val="12"/>
    </font>
    <font>
      <name val="Calibri"/>
      <b val="1"/>
      <color rgb="004B6B3F"/>
      <sz val="10"/>
    </font>
    <font>
      <name val="Calibri"/>
      <b val="1"/>
      <color rgb="009C4A2E"/>
      <sz val="10"/>
    </font>
    <font>
      <name val="Calibri"/>
      <b val="1"/>
      <color rgb="008C6B1F"/>
      <sz val="10"/>
    </font>
    <font>
      <b val="1"/>
      <color rgb="002C4A86"/>
      <sz val="10"/>
    </font>
    <font>
      <b val="1"/>
      <color rgb="004B6B3F"/>
      <sz val="10"/>
    </font>
    <font>
      <b val="1"/>
      <color rgb="009C4A2E"/>
      <sz val="10"/>
    </font>
    <font>
      <b val="1"/>
      <color rgb="008C6B1F"/>
      <sz val="10"/>
    </font>
    <font>
      <b val="1"/>
      <color rgb="001C231F"/>
      <sz val="10"/>
    </font>
    <font>
      <color rgb="005C665F"/>
      <sz val="10"/>
    </font>
  </fonts>
  <fills count="12">
    <fill>
      <patternFill/>
    </fill>
    <fill>
      <patternFill patternType="gray125"/>
    </fill>
    <fill>
      <patternFill patternType="solid">
        <fgColor rgb="0020514D"/>
      </patternFill>
    </fill>
    <fill>
      <patternFill patternType="solid">
        <fgColor rgb="002F6F6A"/>
      </patternFill>
    </fill>
    <fill>
      <patternFill patternType="solid">
        <fgColor rgb="001D4A47"/>
      </patternFill>
    </fill>
    <fill>
      <patternFill patternType="solid">
        <fgColor rgb="00DCE6F5"/>
      </patternFill>
    </fill>
    <fill>
      <patternFill patternType="solid">
        <fgColor rgb="00FFFFFF"/>
      </patternFill>
    </fill>
    <fill>
      <patternFill patternType="solid">
        <fgColor rgb="00F6F7F2"/>
      </patternFill>
    </fill>
    <fill>
      <patternFill patternType="solid">
        <fgColor rgb="00E3ECDC"/>
      </patternFill>
    </fill>
    <fill>
      <patternFill patternType="solid">
        <fgColor rgb="00F3E1D8"/>
      </patternFill>
    </fill>
    <fill>
      <patternFill patternType="solid">
        <fgColor rgb="00F1E9D2"/>
      </patternFill>
    </fill>
    <fill>
      <patternFill patternType="solid">
        <fgColor rgb="00E0EDE9"/>
      </patternFill>
    </fill>
  </fills>
  <borders count="2">
    <border>
      <left/>
      <right/>
      <top/>
      <bottom/>
      <diagonal/>
    </border>
    <border>
      <left style="thin">
        <color rgb="00D7DDD0"/>
      </left>
      <right style="thin">
        <color rgb="00D7DDD0"/>
      </right>
      <top style="thin">
        <color rgb="00D7DDD0"/>
      </top>
      <bottom style="thin">
        <color rgb="00D7DD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15" fillId="8" borderId="1" applyAlignment="1" pivotButton="0" quotePrefix="0" xfId="0">
      <alignment vertical="top" wrapText="1"/>
    </xf>
    <xf numFmtId="0" fontId="16" fillId="9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18" fillId="5" borderId="1" pivotButton="0" quotePrefix="0" xfId="0"/>
    <xf numFmtId="0" fontId="14" fillId="0" borderId="1" applyAlignment="1" pivotButton="0" quotePrefix="0" xfId="0">
      <alignment horizontal="center" vertical="center"/>
    </xf>
    <xf numFmtId="0" fontId="19" fillId="8" borderId="1" pivotButton="0" quotePrefix="0" xfId="0"/>
    <xf numFmtId="0" fontId="20" fillId="9" borderId="1" pivotButton="0" quotePrefix="0" xfId="0"/>
    <xf numFmtId="0" fontId="21" fillId="10" borderId="1" pivotButton="0" quotePrefix="0" xfId="0"/>
    <xf numFmtId="0" fontId="22" fillId="0" borderId="1" pivotButton="0" quotePrefix="0" xfId="0"/>
    <xf numFmtId="0" fontId="14" fillId="11" borderId="1" applyAlignment="1" pivotButton="0" quotePrefix="0" xfId="0">
      <alignment horizontal="center" vertical="center"/>
    </xf>
    <xf numFmtId="0" fontId="23" fillId="0" borderId="0" pivotButton="0" quotePrefix="0" xfId="0"/>
    <xf numFmtId="0" fontId="1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Dossiê de Provas</author>
  </authors>
  <commentList>
    <comment ref="I3" authorId="0" shapeId="0">
      <text>
        <t>1 = baixa prioridade · 5 = alta prioridade pra captação de alunos.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obmep.org.br/premiados.htm" TargetMode="External" Id="rId1" /><Relationship Type="http://schemas.openxmlformats.org/officeDocument/2006/relationships/hyperlink" Target="https://www.obm.org.br/quem-somos/premiados-da-obm/" TargetMode="External" Id="rId2" /><Relationship Type="http://schemas.openxmlformats.org/officeDocument/2006/relationships/hyperlink" Target="https://www1.fisica.org.br/olimpiada/" TargetMode="External" Id="rId3" /><Relationship Type="http://schemas.openxmlformats.org/officeDocument/2006/relationships/hyperlink" Target="https://obquimica.org/olimpiada/olimpiada-brasileira-de-quimica" TargetMode="External" Id="rId4" /><Relationship Type="http://schemas.openxmlformats.org/officeDocument/2006/relationships/hyperlink" Target="https://obquimica.org/olimpiada/olimpiada-brasileira-de-quimica-junior" TargetMode="External" Id="rId5" /><Relationship Type="http://schemas.openxmlformats.org/officeDocument/2006/relationships/hyperlink" Target="https://olimpiadasdebiologia.butantan.gov.br/provas-gabaritos-e-classificacoes" TargetMode="External" Id="rId6" /><Relationship Type="http://schemas.openxmlformats.org/officeDocument/2006/relationships/hyperlink" Target="https://novo.oba.org.br/medalhas" TargetMode="External" Id="rId7" /><Relationship Type="http://schemas.openxmlformats.org/officeDocument/2006/relationships/hyperlink" Target="https://olimpiada.ic.unicamp.br/passadas/" TargetMode="External" Id="rId8" /><Relationship Type="http://schemas.openxmlformats.org/officeDocument/2006/relationships/hyperlink" Target="https://resultado.onciencias.org/" TargetMode="External" Id="rId9" /><Relationship Type="http://schemas.openxmlformats.org/officeDocument/2006/relationships/hyperlink" Target="https://obr.robocup.org.br/participantes/" TargetMode="External" Id="rId10" /><Relationship Type="http://schemas.openxmlformats.org/officeDocument/2006/relationships/hyperlink" Target="https://onee.org.br/" TargetMode="External" Id="rId11" /><Relationship Type="http://schemas.openxmlformats.org/officeDocument/2006/relationships/hyperlink" Target="https://obgeografia.com.br/edicoes-anteriores/" TargetMode="External" Id="rId12" /><Relationship Type="http://schemas.openxmlformats.org/officeDocument/2006/relationships/hyperlink" Target="https://www.cenpec.org.br/pesquisa/textos-finalistas-olimpiada-de-lingua-portuguesa/" TargetMode="External" Id="rId13" /><Relationship Type="http://schemas.openxmlformats.org/officeDocument/2006/relationships/hyperlink" Target="https://www.olitef.com.br/resultados" TargetMode="External" Id="rId14" /><Relationship Type="http://schemas.openxmlformats.org/officeDocument/2006/relationships/hyperlink" Target="https://obling.org/anteriores" TargetMode="External" Id="rId15" /><Relationship Type="http://schemas.openxmlformats.org/officeDocument/2006/relationships/hyperlink" Target="https://www.opm.mat.br/premiados" TargetMode="External" Id="rId16" /><Relationship Type="http://schemas.openxmlformats.org/officeDocument/2006/relationships/hyperlink" Target="https://sites.google.com/view/omm-rmm/acervo" TargetMode="External" Id="rId17" /><Relationship Type="http://schemas.openxmlformats.org/officeDocument/2006/relationships/hyperlink" Target="https://www.opemat.com.br/resultados" TargetMode="External" Id="rId18" /><Relationship Type="http://schemas.openxmlformats.org/officeDocument/2006/relationships/hyperlink" Target="https://omeg.ime.ufg.br/" TargetMode="External" Id="rId19" /><Relationship Type="http://schemas.openxmlformats.org/officeDocument/2006/relationships/hyperlink" Target="https://olimpiadassp.educacao.sp.gov.br/omasp-historico/" TargetMode="External" Id="rId20" /><Relationship Type="http://schemas.openxmlformats.org/officeDocument/2006/relationships/hyperlink" Target="https://www.imo-official.org/results/team/country/BRA/" TargetMode="External" Id="rId21" /><Relationship Type="http://schemas.openxmlformats.org/officeDocument/2006/relationships/hyperlink" Target="https://www1.fisica.org.br/olimpiada/" TargetMode="External" Id="rId22" /><Relationship Type="http://schemas.openxmlformats.org/officeDocument/2006/relationships/hyperlink" Target="https://obquimica.org/olimpiada/olimpiada-internacional-de-quimica" TargetMode="External" Id="rId23" /><Relationship Type="http://schemas.openxmlformats.org/officeDocument/2006/relationships/hyperlink" Target="https://olimpiadasdebiologia.butantan.gov.br/" TargetMode="External" Id="rId24" /><Relationship Type="http://schemas.openxmlformats.org/officeDocument/2006/relationships/hyperlink" Target="https://olimpiada.ic.unicamp.br/competicoes/ioi/" TargetMode="External" Id="rId25" /><Relationship Type="http://schemas.openxmlformats.org/officeDocument/2006/relationships/hyperlink" Target="https://ioling.org/results/BRA" TargetMode="External" Id="rId26" /><Relationship Type="http://schemas.openxmlformats.org/officeDocument/2006/relationships/hyperlink" Target="https://www.obm.org.br/resultados-do-brasil-olimpiada-ibero-americana-de-matematica/" TargetMode="External" Id="rId27" /><Relationship Type="http://schemas.openxmlformats.org/officeDocument/2006/relationships/hyperlink" Target="https://www.obm.org.br/resultados-olimpiada-de-matematica-do-cone-sul/" TargetMode="External" Id="rId28" /><Relationship Type="http://schemas.openxmlformats.org/officeDocument/2006/relationships/hyperlink" Target="https://www1.fisica.org.br/~oibf/home/resultados/index.html" TargetMode="External" Id="rId29" /><Relationship Type="http://schemas.openxmlformats.org/officeDocument/2006/relationships/hyperlink" Target="https://obquimica.org/olimpiada/olimpiada-ibero-americana-de-quimica" TargetMode="External" Id="rId30" /><Relationship Type="http://schemas.openxmlformats.org/officeDocument/2006/relationships/hyperlink" Target="https://cfbio.gov.br/" TargetMode="External" Id="rId31" /><Relationship Type="http://schemas.openxmlformats.org/officeDocument/2006/relationships/hyperlink" Target="https://olimpiada.ic.unicamp.br/competicoes/oii_ciic/" TargetMode="External" Id="rId32" /><Relationship Type="http://schemas.openxmlformats.org/officeDocument/2006/relationships/hyperlink" Target="https://enem.inep.gov.br/participante/" TargetMode="External" Id="rId33" /><Relationship Type="http://schemas.openxmlformats.org/officeDocument/2006/relationships/hyperlink" Target="https://vestibular.ita.br/" TargetMode="External" Id="rId34" /><Relationship Type="http://schemas.openxmlformats.org/officeDocument/2006/relationships/hyperlink" Target="https://ime.eb.mil.br/" TargetMode="External" Id="rId35" /><Relationship Type="http://schemas.openxmlformats.org/officeDocument/2006/relationships/hyperlink" Target="https://acervo.fuvest.br/" TargetMode="External" Id="rId36" /><Relationship Type="http://schemas.openxmlformats.org/officeDocument/2006/relationships/hyperlink" Target="https://www.comvest.unicamp.br/vestibulares-anteriores/" TargetMode="External" Id="rId37" /><Relationship Type="http://schemas.openxmlformats.org/officeDocument/2006/relationships/hyperlink" Target="https://vestibular.ufrgs.br/" TargetMode="External" Id="rId38" /><Relationship Type="http://schemas.openxmlformats.org/officeDocument/2006/relationships/hyperlink" Target="https://servicos.nc.ufpr.br/PortalNC/VestibularesAnteriores" TargetMode="External" Id="rId39" /><Relationship Type="http://schemas.openxmlformats.org/officeDocument/2006/relationships/hyperlink" Target="https://www.vestibular.uerj.br/" TargetMode="External" Id="rId40" /><Relationship Type="http://schemas.openxmlformats.org/officeDocument/2006/relationships/hyperlink" Target="https://www.cev.uece.br/category/vestibular/" TargetMode="External" Id="rId41" /><Relationship Type="http://schemas.openxmlformats.org/officeDocument/2006/relationships/hyperlink" Target="https://processodeingresso.upe.pe.gov.br/anos-anteriores.html" TargetMode="External" Id="rId42" /><Relationship Type="http://schemas.openxmlformats.org/officeDocument/2006/relationships/hyperlink" Target="https://www.cvu.uem.br/" TargetMode="External" Id="rId43" /><Relationship Type="http://schemas.openxmlformats.org/officeDocument/2006/relationships/hyperlink" Target="https://www.cops.uel.br/v2/" TargetMode="External" Id="rId44" /><Relationship Type="http://schemas.openxmlformats.org/officeDocument/2006/relationships/hyperlink" Target="https://www2.uepg.br/cps/" TargetMode="External" Id="rId45" /><Relationship Type="http://schemas.openxmlformats.org/officeDocument/2006/relationships/hyperlink" Target="https://www.depa.eb.mil.br/" TargetMode="External" Id="rId46" /><Relationship Type="http://schemas.openxmlformats.org/officeDocument/2006/relationships/hyperlink" Target="https://www.inscricao.marinha.mil.br/marinha/" TargetMode="External" Id="rId47" /><Relationship Type="http://schemas.openxmlformats.org/officeDocument/2006/relationships/hyperlink" Target="https://www.fab.mil.br/ingresso/cpcar/" TargetMode="External" Id="rId48" /><Relationship Type="http://schemas.openxmlformats.org/officeDocument/2006/relationships/hyperlink" Target="https://espcex.eb.mil.br/" TargetMode="External" Id="rId49" /><Relationship Type="http://schemas.openxmlformats.org/officeDocument/2006/relationships/hyperlink" Target="https://www.inscricao.marinha.mil.br/marinha/" TargetMode="External" Id="rId50" /><Relationship Type="http://schemas.openxmlformats.org/officeDocument/2006/relationships/hyperlink" Target="https://www.marinha.mil.br/ciaga/efommadmissao" TargetMode="External" Id="rId51" /><Relationship Type="http://schemas.openxmlformats.org/officeDocument/2006/relationships/hyperlink" Target="https://www.inscricao.marinha.mil.br/marinhafn/" TargetMode="External" Id="rId5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2">
      <c r="B2" s="1" t="inlineStr">
        <is>
          <t>Dossiê de Provas — Revisão para Captação</t>
        </is>
      </c>
    </row>
    <row r="3" ht="30" customHeight="1">
      <c r="B3" s="2" t="inlineStr">
        <is>
          <t>Levantamento de olimpíadas, vestibulares, colégios militares e concursos de nível médio abertos a quem está no ensino fundamental ou médio — pesquisa de 15/09/2026.</t>
        </is>
      </c>
    </row>
    <row r="5">
      <c r="B5" s="3" t="inlineStr">
        <is>
          <t>O que fazer</t>
        </is>
      </c>
    </row>
    <row r="6" ht="28" customHeight="1">
      <c r="B6" s="4" t="inlineStr">
        <is>
          <t>•  Na aba “Provas” tem as 66 provas levantadas, uma por linha.</t>
        </is>
      </c>
    </row>
    <row r="7" ht="28" customHeight="1">
      <c r="B7" s="4" t="inlineStr">
        <is>
          <t>•  Coluna “Score (1-5)”: dê a nota de importância dessa prova para a captação de alunos — 1 é baixa prioridade, 5 é alta. Clique na célula e escolha na lista suspensa.</t>
        </is>
      </c>
    </row>
    <row r="8" ht="28" customHeight="1">
      <c r="B8" s="4" t="inlineStr">
        <is>
          <t>•  Provas que não valem a pena acompanhar: selecione a linha (clique no número da linha) e apague (botão direito → Excluir linha). Não precisa satisfazer o resto do time — é só limpar o que não serve.</t>
        </is>
      </c>
    </row>
    <row r="9" ht="28" customHeight="1">
      <c r="B9" s="4" t="inlineStr">
        <is>
          <t>•  A aba “Resumo” atualiza sozinha conforme a lista muda (conta por categoria e a média de score).</t>
        </is>
      </c>
    </row>
    <row r="11">
      <c r="B11" s="3" t="inlineStr">
        <is>
          <t>Sobre os dados</t>
        </is>
      </c>
    </row>
    <row r="12" ht="28" customHeight="1">
      <c r="B12" s="4" t="inlineStr">
        <is>
          <t>•  Cada prova tem: quando ocorre, em que região, e onde encontrar quem foi aprovado nos últimos anos (coluna “Resultados”).</t>
        </is>
      </c>
    </row>
    <row r="13" ht="28" customHeight="1">
      <c r="B13" s="4" t="inlineStr">
        <is>
          <t>•  Bastante banca brasileira não mantém um índice único de aprovados — por isso várias linhas de “Observação” avisam quando o link cobre só parte dos anos, ou quando o domínio oficial bloqueia acesso automatizado (mas abre normal num navegador comum).</t>
        </is>
      </c>
    </row>
    <row r="14" ht="28" customHeight="1">
      <c r="B14" s="4" t="inlineStr">
        <is>
          <t>•  Onde não foi encontrada fonte confiável, a coluna “Resultados” diz “não encontrada” em vez de um link chutado.</t>
        </is>
      </c>
    </row>
    <row r="15" ht="28" customHeight="1">
      <c r="B15" s="4" t="inlineStr">
        <is>
          <t>•  Datas mudam a cada edital — confirme sempre no site oficial antes de usar num plano de ação.</t>
        </is>
      </c>
    </row>
    <row r="18">
      <c r="B18" s="5" t="inlineStr">
        <is>
          <t>Levantamento completo, com todo o detalhe e nota metodológica: claude.ai/artifact/FwiQ93VBD57oNWfi1qjZt5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32" customWidth="1" min="3" max="3"/>
    <col width="34" customWidth="1" min="4" max="4"/>
    <col width="28" customWidth="1" min="5" max="5"/>
    <col width="24" customWidth="1" min="6" max="6"/>
    <col width="26" customWidth="1" min="7" max="7"/>
    <col width="30" customWidth="1" min="8" max="8"/>
    <col width="11" customWidth="1" min="9" max="9"/>
  </cols>
  <sheetData>
    <row r="1" ht="30" customHeight="1">
      <c r="A1" s="6" t="inlineStr">
        <is>
          <t>Dossiê de Provas — Revisão para Captação</t>
        </is>
      </c>
    </row>
    <row r="2" ht="20" customHeight="1">
      <c r="A2" s="7" t="inlineStr">
        <is>
          <t>Preencha o Score (1 = baixa prioridade, 5 = alta prioridade pra captação) e apague as linhas das provas que não interessam.  ·  pesquisa de 15/09/2026</t>
        </is>
      </c>
    </row>
    <row r="3" ht="22" customHeight="1">
      <c r="A3" s="8" t="inlineStr">
        <is>
          <t>Categoria</t>
        </is>
      </c>
      <c r="B3" s="8" t="inlineStr">
        <is>
          <t>Subcategoria</t>
        </is>
      </c>
      <c r="C3" s="8" t="inlineStr">
        <is>
          <t>Prova</t>
        </is>
      </c>
      <c r="D3" s="8" t="inlineStr">
        <is>
          <t>Descrição</t>
        </is>
      </c>
      <c r="E3" s="8" t="inlineStr">
        <is>
          <t>Quando</t>
        </is>
      </c>
      <c r="F3" s="8" t="inlineStr">
        <is>
          <t>Região</t>
        </is>
      </c>
      <c r="G3" s="8" t="inlineStr">
        <is>
          <t>Resultados</t>
        </is>
      </c>
      <c r="H3" s="8" t="inlineStr">
        <is>
          <t>Observação</t>
        </is>
      </c>
      <c r="I3" s="9" t="inlineStr">
        <is>
          <t>Score (1-5)</t>
        </is>
      </c>
    </row>
    <row r="4" ht="34" customHeight="1">
      <c r="A4" s="10" t="inlineStr">
        <is>
          <t>Olimpíadas</t>
        </is>
      </c>
      <c r="B4" s="11" t="inlineStr">
        <is>
          <t>Nacionais</t>
        </is>
      </c>
      <c r="C4" s="12" t="inlineStr">
        <is>
          <t>OBMEP</t>
        </is>
      </c>
      <c r="D4" s="13" t="inlineStr">
        <is>
          <t>Matemática · só escolas públicas, 6º-9º EF e todo o médio</t>
        </is>
      </c>
      <c r="E4" s="11" t="inlineStr">
        <is>
          <t>F1 jun · F2 out · resultado dez</t>
        </is>
      </c>
      <c r="F4" s="11" t="inlineStr">
        <is>
          <t>Nacional</t>
        </is>
      </c>
      <c r="G4" s="14" t="inlineStr">
        <is>
          <t>obmep.org.br/premiados</t>
        </is>
      </c>
      <c r="H4" s="13" t="inlineStr">
        <is>
          <t>2005–2025 (falta 2020)</t>
        </is>
      </c>
      <c r="I4" s="15" t="n"/>
    </row>
    <row r="5" ht="34" customHeight="1">
      <c r="A5" s="10" t="inlineStr">
        <is>
          <t>Olimpíadas</t>
        </is>
      </c>
      <c r="B5" s="16" t="inlineStr">
        <is>
          <t>Nacionais</t>
        </is>
      </c>
      <c r="C5" s="17" t="inlineStr">
        <is>
          <t>OBM</t>
        </is>
      </c>
      <c r="D5" s="18" t="inlineStr">
        <is>
          <t>Matemática · 6º ano ao universitário</t>
        </is>
      </c>
      <c r="E5" s="16" t="inlineStr">
        <is>
          <t>fase única em out. (2026: 8-9/out)</t>
        </is>
      </c>
      <c r="F5" s="16" t="inlineStr">
        <is>
          <t>Nacional</t>
        </is>
      </c>
      <c r="G5" s="19" t="inlineStr">
        <is>
          <t>obm.org.br/premiados</t>
        </is>
      </c>
      <c r="H5" s="18" t="inlineStr">
        <is>
          <t>completo 1979–2025</t>
        </is>
      </c>
      <c r="I5" s="20" t="n"/>
    </row>
    <row r="6" ht="34" customHeight="1">
      <c r="A6" s="10" t="inlineStr">
        <is>
          <t>Olimpíadas</t>
        </is>
      </c>
      <c r="B6" s="11" t="inlineStr">
        <is>
          <t>Nacionais</t>
        </is>
      </c>
      <c r="C6" s="12" t="inlineStr">
        <is>
          <t>OBF</t>
        </is>
      </c>
      <c r="D6" s="13" t="inlineStr">
        <is>
          <t>Física · 9º EF e as 3 séries do médio</t>
        </is>
      </c>
      <c r="E6" s="11" t="inlineStr">
        <is>
          <t>F1 jun · F2 ago · F3 out · result. fev/mar</t>
        </is>
      </c>
      <c r="F6" s="11" t="inlineStr">
        <is>
          <t>Nacional</t>
        </is>
      </c>
      <c r="G6" s="14" t="inlineStr">
        <is>
          <t>fisica.org.br/olimpiada/{ano}</t>
        </is>
      </c>
      <c r="H6" s="13" t="inlineStr">
        <is>
          <t>sem página central, por ano</t>
        </is>
      </c>
      <c r="I6" s="15" t="n"/>
    </row>
    <row r="7" ht="34" customHeight="1">
      <c r="A7" s="10" t="inlineStr">
        <is>
          <t>Olimpíadas</t>
        </is>
      </c>
      <c r="B7" s="16" t="inlineStr">
        <is>
          <t>Nacionais</t>
        </is>
      </c>
      <c r="C7" s="17" t="inlineStr">
        <is>
          <t>OBQ</t>
        </is>
      </c>
      <c r="D7" s="18" t="inlineStr">
        <is>
          <t>Química · 1ª fase dentro de 27 olimpíadas estaduais + DF</t>
        </is>
      </c>
      <c r="E7" s="16" t="inlineStr">
        <is>
          <t>estaduais → F3 nac. ago-nov → F4 lab out-nov</t>
        </is>
      </c>
      <c r="F7" s="16" t="inlineStr">
        <is>
          <t>Nacional</t>
        </is>
      </c>
      <c r="G7" s="19" t="inlineStr">
        <is>
          <t>obquimica.org</t>
        </is>
      </c>
      <c r="H7" s="18" t="inlineStr">
        <is>
          <t>PDFs 2022–2025 confirmados</t>
        </is>
      </c>
      <c r="I7" s="20" t="n"/>
    </row>
    <row r="8" ht="34" customHeight="1">
      <c r="A8" s="10" t="inlineStr">
        <is>
          <t>Olimpíadas</t>
        </is>
      </c>
      <c r="B8" s="11" t="inlineStr">
        <is>
          <t>Nacionais</t>
        </is>
      </c>
      <c r="C8" s="12" t="inlineStr">
        <is>
          <t>OBQ Jr</t>
        </is>
      </c>
      <c r="D8" s="13" t="inlineStr">
        <is>
          <t>Química · 6º ao 9º ano do fundamental</t>
        </is>
      </c>
      <c r="E8" s="11" t="inlineStr">
        <is>
          <t>F1 presencial ago · F2 online out</t>
        </is>
      </c>
      <c r="F8" s="11" t="inlineStr">
        <is>
          <t>Nacional</t>
        </is>
      </c>
      <c r="G8" s="14" t="inlineStr">
        <is>
          <t>obquimica.org</t>
        </is>
      </c>
      <c r="H8" s="13" t="inlineStr">
        <is>
          <t>PDFs 2021–2025 confirmados</t>
        </is>
      </c>
      <c r="I8" s="15" t="n"/>
    </row>
    <row r="9" ht="34" customHeight="1">
      <c r="A9" s="10" t="inlineStr">
        <is>
          <t>Olimpíadas</t>
        </is>
      </c>
      <c r="B9" s="16" t="inlineStr">
        <is>
          <t>Nacionais</t>
        </is>
      </c>
      <c r="C9" s="17" t="inlineStr">
        <is>
          <t>OBB</t>
        </is>
      </c>
      <c r="D9" s="18" t="inlineStr">
        <is>
          <t>Biologia · Instituto Butantan, ensino médio</t>
        </is>
      </c>
      <c r="E9" s="16" t="inlineStr">
        <is>
          <t>F1 mar · F2 mar/abr</t>
        </is>
      </c>
      <c r="F9" s="16" t="inlineStr">
        <is>
          <t>Nacional</t>
        </is>
      </c>
      <c r="G9" s="19" t="inlineStr">
        <is>
          <t>olimpiadasdebiologia.butantan.gov.br</t>
        </is>
      </c>
      <c r="H9" s="18" t="inlineStr">
        <is>
          <t>2019–2026 · .gov.br bloqueia robô</t>
        </is>
      </c>
      <c r="I9" s="20" t="n"/>
    </row>
    <row r="10" ht="34" customHeight="1">
      <c r="A10" s="10" t="inlineStr">
        <is>
          <t>Olimpíadas</t>
        </is>
      </c>
      <c r="B10" s="11" t="inlineStr">
        <is>
          <t>Nacionais</t>
        </is>
      </c>
      <c r="C10" s="12" t="inlineStr">
        <is>
          <t>OBA</t>
        </is>
      </c>
      <c r="D10" s="13" t="inlineStr">
        <is>
          <t>Astronomia e Astronáutica · prova única na própria escola, todo EF e EM</t>
        </is>
      </c>
      <c r="E10" s="11" t="inlineStr">
        <is>
          <t>fase única, ~jul (mês varia)</t>
        </is>
      </c>
      <c r="F10" s="11" t="inlineStr">
        <is>
          <t>Nacional</t>
        </is>
      </c>
      <c r="G10" s="14" t="inlineStr">
        <is>
          <t>novo.oba.org.br/medalhas</t>
        </is>
      </c>
      <c r="H10" s="13" t="inlineStr">
        <is>
          <t>site em migração, 3 domínios</t>
        </is>
      </c>
      <c r="I10" s="15" t="n"/>
    </row>
    <row r="11" ht="34" customHeight="1">
      <c r="A11" s="10" t="inlineStr">
        <is>
          <t>Olimpíadas</t>
        </is>
      </c>
      <c r="B11" s="16" t="inlineStr">
        <is>
          <t>Nacionais</t>
        </is>
      </c>
      <c r="C11" s="17" t="inlineStr">
        <is>
          <t>OBI</t>
        </is>
      </c>
      <c r="D11" s="18" t="inlineStr">
        <is>
          <t>Informática · modalidades Programação e Iniciação</t>
        </is>
      </c>
      <c r="E11" s="16" t="inlineStr">
        <is>
          <t>F1 jun · F2 ago · F3 presencial set-nov</t>
        </is>
      </c>
      <c r="F11" s="16" t="inlineStr">
        <is>
          <t>Nacional, F3 em sedes regionais</t>
        </is>
      </c>
      <c r="G11" s="19" t="inlineStr">
        <is>
          <t>olimpiada.ic.unicamp.br/passadas</t>
        </is>
      </c>
      <c r="H11" s="18" t="inlineStr">
        <is>
          <t>1999–2025 completo, sem login</t>
        </is>
      </c>
      <c r="I11" s="20" t="n"/>
    </row>
    <row r="12" ht="34" customHeight="1">
      <c r="A12" s="10" t="inlineStr">
        <is>
          <t>Olimpíadas</t>
        </is>
      </c>
      <c r="B12" s="11" t="inlineStr">
        <is>
          <t>Nacionais</t>
        </is>
      </c>
      <c r="C12" s="12" t="inlineStr">
        <is>
          <t>ONC</t>
        </is>
      </c>
      <c r="D12" s="13" t="inlineStr">
        <is>
          <t>Multidisciplinar · Astronomia, Biologia, Física, História e Química</t>
        </is>
      </c>
      <c r="E12" s="11" t="inlineStr">
        <is>
          <t>F1 meados ago · F2 meados set</t>
        </is>
      </c>
      <c r="F12" s="11" t="inlineStr">
        <is>
          <t>Nacional, resultado por estado</t>
        </is>
      </c>
      <c r="G12" s="14" t="inlineStr">
        <is>
          <t>resultado.onciencias.org</t>
        </is>
      </c>
      <c r="H12" s="13" t="inlineStr">
        <is>
          <t>2020–2025 · UFPI/MCTI</t>
        </is>
      </c>
      <c r="I12" s="15" t="n"/>
    </row>
    <row r="13" ht="34" customHeight="1">
      <c r="A13" s="10" t="inlineStr">
        <is>
          <t>Olimpíadas</t>
        </is>
      </c>
      <c r="B13" s="16" t="inlineStr">
        <is>
          <t>Nacionais</t>
        </is>
      </c>
      <c r="C13" s="17" t="inlineStr">
        <is>
          <t>ONHB</t>
        </is>
      </c>
      <c r="D13" s="18" t="inlineStr">
        <is>
          <t>Olimpíada Nacional em História do Brasil</t>
        </is>
      </c>
      <c r="E13" s="16" t="inlineStr">
        <is>
          <t>F1/F2 mai · final presencial ago (Unicamp)</t>
        </is>
      </c>
      <c r="F13" s="16" t="inlineStr">
        <is>
          <t>Nacional, final em Campinas-SP</t>
        </is>
      </c>
      <c r="G13" s="21" t="inlineStr">
        <is>
          <t>não encontrada</t>
        </is>
      </c>
      <c r="H13" s="18" t="inlineStr">
        <is>
          <t>sem link único · só notícias avulsas</t>
        </is>
      </c>
      <c r="I13" s="20" t="n"/>
    </row>
    <row r="14" ht="34" customHeight="1">
      <c r="A14" s="10" t="inlineStr">
        <is>
          <t>Olimpíadas</t>
        </is>
      </c>
      <c r="B14" s="11" t="inlineStr">
        <is>
          <t>Nacionais</t>
        </is>
      </c>
      <c r="C14" s="12" t="inlineStr">
        <is>
          <t>OBR</t>
        </is>
      </c>
      <c r="D14" s="13" t="inlineStr">
        <is>
          <t>Olimpíada Brasileira de Robótica</t>
        </is>
      </c>
      <c r="E14" s="11" t="inlineStr">
        <is>
          <t>teórica jul-out · nacional prática nov</t>
        </is>
      </c>
      <c r="F14" s="11" t="inlineStr">
        <is>
          <t>Nacional, com etapa estadual</t>
        </is>
      </c>
      <c r="G14" s="14" t="inlineStr">
        <is>
          <t>obr.robocup.org.br</t>
        </is>
      </c>
      <c r="H14" s="13" t="inlineStr">
        <is>
          <t>só 2024-2025 públicos</t>
        </is>
      </c>
      <c r="I14" s="15" t="n"/>
    </row>
    <row r="15" ht="34" customHeight="1">
      <c r="A15" s="10" t="inlineStr">
        <is>
          <t>Olimpíadas</t>
        </is>
      </c>
      <c r="B15" s="16" t="inlineStr">
        <is>
          <t>Nacionais</t>
        </is>
      </c>
      <c r="C15" s="17" t="inlineStr">
        <is>
          <t>ONEE</t>
        </is>
      </c>
      <c r="D15" s="18" t="inlineStr">
        <is>
          <t>Eficiência Energética</t>
        </is>
      </c>
      <c r="E15" s="16" t="inlineStr">
        <is>
          <t>inscrição até meados set · result. out-dez</t>
        </is>
      </c>
      <c r="F15" s="16" t="inlineStr">
        <is>
          <t>Nacional, apurado por estado</t>
        </is>
      </c>
      <c r="G15" s="19" t="inlineStr">
        <is>
          <t>onee.org.br</t>
        </is>
      </c>
      <c r="H15" s="18" t="inlineStr">
        <is>
          <t>desde ~2021 · site bloqueia robô</t>
        </is>
      </c>
      <c r="I15" s="20" t="n"/>
    </row>
    <row r="16" ht="34" customHeight="1">
      <c r="A16" s="10" t="inlineStr">
        <is>
          <t>Olimpíadas</t>
        </is>
      </c>
      <c r="B16" s="11" t="inlineStr">
        <is>
          <t>Nacionais</t>
        </is>
      </c>
      <c r="C16" s="12" t="inlineStr">
        <is>
          <t>OBMED</t>
        </is>
      </c>
      <c r="D16" s="13" t="inlineStr">
        <is>
          <t>Olimpíada Brasileira de Medicina · fase única online</t>
        </is>
      </c>
      <c r="E16" s="11" t="inlineStr">
        <is>
          <t>2026: 28/set a 9/out</t>
        </is>
      </c>
      <c r="F16" s="11" t="inlineStr">
        <is>
          <t>Nacional</t>
        </is>
      </c>
      <c r="G16" s="22" t="inlineStr">
        <is>
          <t>não encontrada</t>
        </is>
      </c>
      <c r="H16" s="13" t="inlineStr">
        <is>
          <t>só desde 2025 · cuidado com homônimas</t>
        </is>
      </c>
      <c r="I16" s="15" t="n"/>
    </row>
    <row r="17" ht="34" customHeight="1">
      <c r="A17" s="10" t="inlineStr">
        <is>
          <t>Olimpíadas</t>
        </is>
      </c>
      <c r="B17" s="16" t="inlineStr">
        <is>
          <t>Nacionais</t>
        </is>
      </c>
      <c r="C17" s="17" t="inlineStr">
        <is>
          <t>Olimpíada Brasileira de Geografia</t>
        </is>
      </c>
      <c r="D17" s="18" t="n"/>
      <c r="E17" s="16" t="inlineStr">
        <is>
          <t>3 fases, 1º semestre + final</t>
        </is>
      </c>
      <c r="F17" s="16" t="inlineStr">
        <is>
          <t>Nacional, c/ fases estaduais online</t>
        </is>
      </c>
      <c r="G17" s="19" t="inlineStr">
        <is>
          <t>obgeografia.com.br</t>
        </is>
      </c>
      <c r="H17" s="18" t="inlineStr">
        <is>
          <t>confirmado 2021 e 2026</t>
        </is>
      </c>
      <c r="I17" s="20" t="n"/>
    </row>
    <row r="18" ht="34" customHeight="1">
      <c r="A18" s="10" t="inlineStr">
        <is>
          <t>Olimpíadas</t>
        </is>
      </c>
      <c r="B18" s="11" t="inlineStr">
        <is>
          <t>Nacionais</t>
        </is>
      </c>
      <c r="C18" s="12" t="inlineStr">
        <is>
          <t>Onfil</t>
        </is>
      </c>
      <c r="D18" s="13" t="inlineStr">
        <is>
          <t>Olimpíada Nacional de Filosofia</t>
        </is>
      </c>
      <c r="E18" s="11" t="inlineStr">
        <is>
          <t>regional jun · final presencial set/out (Santa Maria-RS)</t>
        </is>
      </c>
      <c r="F18" s="11" t="inlineStr">
        <is>
          <t>Nacional, final concentrada</t>
        </is>
      </c>
      <c r="G18" s="22" t="inlineStr">
        <is>
          <t>não encontrada</t>
        </is>
      </c>
      <c r="H18" s="13" t="inlineStr">
        <is>
          <t>só 2 edições desde 2024</t>
        </is>
      </c>
      <c r="I18" s="15" t="n"/>
    </row>
    <row r="19" ht="34" customHeight="1">
      <c r="A19" s="10" t="inlineStr">
        <is>
          <t>Olimpíadas</t>
        </is>
      </c>
      <c r="B19" s="16" t="inlineStr">
        <is>
          <t>Nacionais</t>
        </is>
      </c>
      <c r="C19" s="17" t="inlineStr">
        <is>
          <t>Escrevendo o Futuro</t>
        </is>
      </c>
      <c r="D19" s="18" t="inlineStr">
        <is>
          <t>Língua Portuguesa · escolas públicas</t>
        </is>
      </c>
      <c r="E19" s="16" t="inlineStr">
        <is>
          <t>historicamente bienal, premiação ~dez</t>
        </is>
      </c>
      <c r="F19" s="16" t="inlineStr">
        <is>
          <t>Nacional</t>
        </is>
      </c>
      <c r="G19" s="19" t="inlineStr">
        <is>
          <t>cenpec.org.br</t>
        </is>
      </c>
      <c r="H19" s="18" t="inlineStr">
        <is>
          <t>status incerto · nada após 2019</t>
        </is>
      </c>
      <c r="I19" s="20" t="n"/>
    </row>
    <row r="20" ht="34" customHeight="1">
      <c r="A20" s="10" t="inlineStr">
        <is>
          <t>Olimpíadas</t>
        </is>
      </c>
      <c r="B20" s="11" t="inlineStr">
        <is>
          <t>Nacionais</t>
        </is>
      </c>
      <c r="C20" s="12" t="inlineStr">
        <is>
          <t>Canguru de Matemática Brasil</t>
        </is>
      </c>
      <c r="D20" s="13" t="n"/>
      <c r="E20" s="11" t="inlineStr">
        <is>
          <t>aplicação única, resultado ~jun</t>
        </is>
      </c>
      <c r="F20" s="11" t="inlineStr">
        <is>
          <t>Nacional</t>
        </is>
      </c>
      <c r="G20" s="22" t="inlineStr">
        <is>
          <t>não encontrada</t>
        </is>
      </c>
      <c r="H20" s="13" t="inlineStr">
        <is>
          <t>resultado só visível pela escola (login)</t>
        </is>
      </c>
      <c r="I20" s="15" t="n"/>
    </row>
    <row r="21" ht="34" customHeight="1">
      <c r="A21" s="10" t="inlineStr">
        <is>
          <t>Olimpíadas</t>
        </is>
      </c>
      <c r="B21" s="16" t="inlineStr">
        <is>
          <t>Nacionais</t>
        </is>
      </c>
      <c r="C21" s="17" t="inlineStr">
        <is>
          <t>Olitef</t>
        </is>
      </c>
      <c r="D21" s="18" t="inlineStr">
        <is>
          <t>Educação financeira, com o Tesouro Direto</t>
        </is>
      </c>
      <c r="E21" s="16" t="inlineStr">
        <is>
          <t>prova set · premiação nov-fev seguinte</t>
        </is>
      </c>
      <c r="F21" s="16" t="inlineStr">
        <is>
          <t>Nacional</t>
        </is>
      </c>
      <c r="G21" s="19" t="inlineStr">
        <is>
          <t>olitef.com.br/resultados</t>
        </is>
      </c>
      <c r="H21" s="18" t="inlineStr">
        <is>
          <t>só 2024 e 2025 (prova nova)</t>
        </is>
      </c>
      <c r="I21" s="20" t="n"/>
    </row>
    <row r="22" ht="34" customHeight="1">
      <c r="A22" s="10" t="inlineStr">
        <is>
          <t>Olimpíadas</t>
        </is>
      </c>
      <c r="B22" s="11" t="inlineStr">
        <is>
          <t>Nacionais</t>
        </is>
      </c>
      <c r="C22" s="12" t="inlineStr">
        <is>
          <t>The Big Challenge</t>
        </is>
      </c>
      <c r="D22" s="13" t="inlineStr">
        <is>
          <t>Inglês · do 4º ano do fundamental em diante</t>
        </is>
      </c>
      <c r="E22" s="11" t="inlineStr">
        <is>
          <t>ago-set (2026: 24/ago a 12/set)</t>
        </is>
      </c>
      <c r="F22" s="11" t="inlineStr">
        <is>
          <t>Nacional</t>
        </is>
      </c>
      <c r="G22" s="22" t="inlineStr">
        <is>
          <t>não encontrada</t>
        </is>
      </c>
      <c r="H22" s="13" t="inlineStr">
        <is>
          <t>resultado só via login de professor</t>
        </is>
      </c>
      <c r="I22" s="15" t="n"/>
    </row>
    <row r="23" ht="34" customHeight="1">
      <c r="A23" s="10" t="inlineStr">
        <is>
          <t>Olimpíadas</t>
        </is>
      </c>
      <c r="B23" s="16" t="inlineStr">
        <is>
          <t>Nacionais</t>
        </is>
      </c>
      <c r="C23" s="17" t="inlineStr">
        <is>
          <t>OBL</t>
        </is>
      </c>
      <c r="D23" s="18" t="inlineStr">
        <is>
          <t>Linguística · seleciona a equipe brasileira pra IOL</t>
        </is>
      </c>
      <c r="E23" s="16" t="inlineStr">
        <is>
          <t>F1 online + F2 presencial em polos</t>
        </is>
      </c>
      <c r="F23" s="16" t="inlineStr">
        <is>
          <t>Nacional, F2 em polos presenciais</t>
        </is>
      </c>
      <c r="G23" s="19" t="inlineStr">
        <is>
          <t>obling.org/anteriores</t>
        </is>
      </c>
      <c r="H23" s="18" t="inlineStr">
        <is>
          <t>todas as edições desde 2011</t>
        </is>
      </c>
      <c r="I23" s="20" t="n"/>
    </row>
    <row r="24" ht="34" customHeight="1">
      <c r="A24" s="10" t="inlineStr">
        <is>
          <t>Olimpíadas</t>
        </is>
      </c>
      <c r="B24" s="11" t="inlineStr">
        <is>
          <t>Estaduais</t>
        </is>
      </c>
      <c r="C24" s="12" t="inlineStr">
        <is>
          <t>OPM — Olimpíada Paulista de Matemática</t>
        </is>
      </c>
      <c r="D24" s="13" t="n"/>
      <c r="E24" s="11" t="inlineStr">
        <is>
          <t>fase única presencial em agosto</t>
        </is>
      </c>
      <c r="F24" s="11" t="inlineStr">
        <is>
          <t>SP · públicas e privadas</t>
        </is>
      </c>
      <c r="G24" s="14" t="inlineStr">
        <is>
          <t>opm.mat.br/premiados</t>
        </is>
      </c>
      <c r="H24" s="13" t="inlineStr">
        <is>
          <t>fora do ar no momento (erro de banco)</t>
        </is>
      </c>
      <c r="I24" s="15" t="n"/>
    </row>
    <row r="25" ht="34" customHeight="1">
      <c r="A25" s="10" t="inlineStr">
        <is>
          <t>Olimpíadas</t>
        </is>
      </c>
      <c r="B25" s="16" t="inlineStr">
        <is>
          <t>Estaduais</t>
        </is>
      </c>
      <c r="C25" s="17" t="inlineStr">
        <is>
          <t>OMM — Olimpíada Mineira de Matemática</t>
        </is>
      </c>
      <c r="D25" s="18" t="n"/>
      <c r="E25" s="16" t="inlineStr">
        <is>
          <t>inscrição em junho</t>
        </is>
      </c>
      <c r="F25" s="16" t="inlineStr">
        <is>
          <t>MG</t>
        </is>
      </c>
      <c r="G25" s="19" t="inlineStr">
        <is>
          <t>acervo da RMM</t>
        </is>
      </c>
      <c r="H25" s="18" t="inlineStr">
        <is>
          <t>2004–2019 e 2024–2025, lacuna 2020–2023</t>
        </is>
      </c>
      <c r="I25" s="20" t="n"/>
    </row>
    <row r="26" ht="34" customHeight="1">
      <c r="A26" s="10" t="inlineStr">
        <is>
          <t>Olimpíadas</t>
        </is>
      </c>
      <c r="B26" s="11" t="inlineStr">
        <is>
          <t>Estaduais</t>
        </is>
      </c>
      <c r="C26" s="12" t="inlineStr">
        <is>
          <t>OPEMAT — Olimpíada Pernambucana de Matemática</t>
        </is>
      </c>
      <c r="D26" s="13" t="n"/>
      <c r="E26" s="11" t="inlineStr">
        <is>
          <t>2 fases (2026: F1 13/out, F2 28/nov)</t>
        </is>
      </c>
      <c r="F26" s="11" t="inlineStr">
        <is>
          <t>PE · UFRPE, desde 2015</t>
        </is>
      </c>
      <c r="G26" s="14" t="inlineStr">
        <is>
          <t>opemat.com.br/resultados</t>
        </is>
      </c>
      <c r="H26" s="13" t="inlineStr">
        <is>
          <t>2016–2025 quase completo</t>
        </is>
      </c>
      <c r="I26" s="15" t="n"/>
    </row>
    <row r="27" ht="34" customHeight="1">
      <c r="A27" s="10" t="inlineStr">
        <is>
          <t>Olimpíadas</t>
        </is>
      </c>
      <c r="B27" s="16" t="inlineStr">
        <is>
          <t>Estaduais</t>
        </is>
      </c>
      <c r="C27" s="17" t="inlineStr">
        <is>
          <t>OMEG — Olimpíada de Matemática do Estado de Goiás</t>
        </is>
      </c>
      <c r="D27" s="18" t="n"/>
      <c r="E27" s="16" t="inlineStr">
        <is>
          <t>geralmente 2º semestre</t>
        </is>
      </c>
      <c r="F27" s="16" t="inlineStr">
        <is>
          <t>GO · polos (UEG, IFG)</t>
        </is>
      </c>
      <c r="G27" s="19" t="inlineStr">
        <is>
          <t>omeg.ime.ufg.br</t>
        </is>
      </c>
      <c r="H27" s="18" t="inlineStr">
        <is>
          <t>confirmado 2021, 2023–2025</t>
        </is>
      </c>
      <c r="I27" s="20" t="n"/>
    </row>
    <row r="28" ht="34" customHeight="1">
      <c r="A28" s="10" t="inlineStr">
        <is>
          <t>Olimpíadas</t>
        </is>
      </c>
      <c r="B28" s="11" t="inlineStr">
        <is>
          <t>Estaduais</t>
        </is>
      </c>
      <c r="C28" s="12" t="inlineStr">
        <is>
          <t>Mais Olimp / OMASP</t>
        </is>
      </c>
      <c r="D28" s="13" t="inlineStr">
        <is>
          <t>Guarda-chuva de ~12 olimpíadas da rede estadual paulista</t>
        </is>
      </c>
      <c r="E28" s="11" t="inlineStr">
        <is>
          <t>OMASP em 3 fases a partir do 1º sem.</t>
        </is>
      </c>
      <c r="F28" s="11" t="inlineStr">
        <is>
          <t>Rede estadual de SP</t>
        </is>
      </c>
      <c r="G28" s="14" t="inlineStr">
        <is>
          <t>olimpiadassp.educacao.sp.gov.br</t>
        </is>
      </c>
      <c r="H28" s="13" t="inlineStr">
        <is>
          <t>só 2024 e 2025 disponíveis</t>
        </is>
      </c>
      <c r="I28" s="15" t="n"/>
    </row>
    <row r="29" ht="34" customHeight="1">
      <c r="A29" s="10" t="inlineStr">
        <is>
          <t>Olimpíadas</t>
        </is>
      </c>
      <c r="B29" s="16" t="inlineStr">
        <is>
          <t>Internacionais</t>
        </is>
      </c>
      <c r="C29" s="17" t="inlineStr">
        <is>
          <t>IMO — Matemática</t>
        </is>
      </c>
      <c r="D29" s="18" t="n"/>
      <c r="E29" s="16" t="inlineStr">
        <is>
          <t>julho (sede rotativa)</t>
        </is>
      </c>
      <c r="F29" s="16" t="inlineStr">
        <is>
          <t>100+ países</t>
        </is>
      </c>
      <c r="G29" s="19" t="inlineStr">
        <is>
          <t>imo-official.org · BRA</t>
        </is>
      </c>
      <c r="H29" s="18" t="inlineStr">
        <is>
          <t>2019–2026 · seleção: OBM</t>
        </is>
      </c>
      <c r="I29" s="20" t="n"/>
    </row>
    <row r="30" ht="34" customHeight="1">
      <c r="A30" s="10" t="inlineStr">
        <is>
          <t>Olimpíadas</t>
        </is>
      </c>
      <c r="B30" s="11" t="inlineStr">
        <is>
          <t>Internacionais</t>
        </is>
      </c>
      <c r="C30" s="12" t="inlineStr">
        <is>
          <t>IPhO — Física</t>
        </is>
      </c>
      <c r="D30" s="13" t="n"/>
      <c r="E30" s="11" t="inlineStr">
        <is>
          <t>julho (típico)</t>
        </is>
      </c>
      <c r="F30" s="11" t="inlineStr">
        <is>
          <t>Internacional</t>
        </is>
      </c>
      <c r="G30" s="14" t="inlineStr">
        <is>
          <t>fisica.org.br/olimpiada/{ano}</t>
        </is>
      </c>
      <c r="H30" s="13" t="inlineStr">
        <is>
          <t>seleção: OBF/TBF</t>
        </is>
      </c>
      <c r="I30" s="15" t="n"/>
    </row>
    <row r="31" ht="34" customHeight="1">
      <c r="A31" s="10" t="inlineStr">
        <is>
          <t>Olimpíadas</t>
        </is>
      </c>
      <c r="B31" s="16" t="inlineStr">
        <is>
          <t>Internacionais</t>
        </is>
      </c>
      <c r="C31" s="17" t="inlineStr">
        <is>
          <t>IChO — Química</t>
        </is>
      </c>
      <c r="D31" s="18" t="n"/>
      <c r="E31" s="16" t="inlineStr">
        <is>
          <t>julho (típico)</t>
        </is>
      </c>
      <c r="F31" s="16" t="inlineStr">
        <is>
          <t>Internacional</t>
        </is>
      </c>
      <c r="G31" s="19" t="inlineStr">
        <is>
          <t>obquimica.org</t>
        </is>
      </c>
      <c r="H31" s="18" t="inlineStr">
        <is>
          <t>PDFs só até 2021 · seleção: OBQ</t>
        </is>
      </c>
      <c r="I31" s="20" t="n"/>
    </row>
    <row r="32" ht="34" customHeight="1">
      <c r="A32" s="10" t="inlineStr">
        <is>
          <t>Olimpíadas</t>
        </is>
      </c>
      <c r="B32" s="11" t="inlineStr">
        <is>
          <t>Internacionais</t>
        </is>
      </c>
      <c r="C32" s="12" t="inlineStr">
        <is>
          <t>IBO — Biologia</t>
        </is>
      </c>
      <c r="D32" s="13" t="n"/>
      <c r="E32" s="11" t="inlineStr">
        <is>
          <t>julho (2025: Filipinas)</t>
        </is>
      </c>
      <c r="F32" s="11" t="inlineStr">
        <is>
          <t>Internacional</t>
        </is>
      </c>
      <c r="G32" s="14" t="inlineStr">
        <is>
          <t>olimpiadasdebiologia.butantan.gov.br</t>
        </is>
      </c>
      <c r="H32" s="13" t="inlineStr">
        <is>
          <t>bloqueia robô · seleção: OBB</t>
        </is>
      </c>
      <c r="I32" s="15" t="n"/>
    </row>
    <row r="33" ht="34" customHeight="1">
      <c r="A33" s="10" t="inlineStr">
        <is>
          <t>Olimpíadas</t>
        </is>
      </c>
      <c r="B33" s="16" t="inlineStr">
        <is>
          <t>Internacionais</t>
        </is>
      </c>
      <c r="C33" s="17" t="inlineStr">
        <is>
          <t>IOI — Informática</t>
        </is>
      </c>
      <c r="D33" s="18" t="n"/>
      <c r="E33" s="16" t="inlineStr">
        <is>
          <t>fim de jul/ago (2026: 9-16/ago)</t>
        </is>
      </c>
      <c r="F33" s="16" t="inlineStr">
        <is>
          <t>80+ países</t>
        </is>
      </c>
      <c r="G33" s="19" t="inlineStr">
        <is>
          <t>olimpiada.ic.unicamp.br</t>
        </is>
      </c>
      <c r="H33" s="18" t="inlineStr">
        <is>
          <t>1998–2025 · seleção: OBI</t>
        </is>
      </c>
      <c r="I33" s="20" t="n"/>
    </row>
    <row r="34" ht="34" customHeight="1">
      <c r="A34" s="10" t="inlineStr">
        <is>
          <t>Olimpíadas</t>
        </is>
      </c>
      <c r="B34" s="11" t="inlineStr">
        <is>
          <t>Internacionais</t>
        </is>
      </c>
      <c r="C34" s="12" t="inlineStr">
        <is>
          <t>IOL — Linguística</t>
        </is>
      </c>
      <c r="D34" s="13" t="n"/>
      <c r="E34" s="11" t="inlineStr">
        <is>
          <t>julho (2026: 26/jul-2/ago)</t>
        </is>
      </c>
      <c r="F34" s="11" t="inlineStr">
        <is>
          <t>46 países em 2026 · Brasil sediou 2024</t>
        </is>
      </c>
      <c r="G34" s="14" t="inlineStr">
        <is>
          <t>ioling.org/results/BRA</t>
        </is>
      </c>
      <c r="H34" s="13" t="inlineStr">
        <is>
          <t>seleção: OBL</t>
        </is>
      </c>
      <c r="I34" s="15" t="n"/>
    </row>
    <row r="35" ht="34" customHeight="1">
      <c r="A35" s="10" t="inlineStr">
        <is>
          <t>Olimpíadas</t>
        </is>
      </c>
      <c r="B35" s="16" t="inlineStr">
        <is>
          <t>Internacionais</t>
        </is>
      </c>
      <c r="C35" s="17" t="inlineStr">
        <is>
          <t>OIM — Ibero-americana de Matemática</t>
        </is>
      </c>
      <c r="D35" s="18" t="n"/>
      <c r="E35" s="16" t="inlineStr">
        <is>
          <t>setembro (2026: Buenos Aires)</t>
        </is>
      </c>
      <c r="F35" s="16" t="inlineStr">
        <is>
          <t>Ibero-americana · ~22 países</t>
        </is>
      </c>
      <c r="G35" s="19" t="inlineStr">
        <is>
          <t>obm.org.br</t>
        </is>
      </c>
      <c r="H35" s="18" t="inlineStr">
        <is>
          <t>completo 1985–2026 · seleção: OBM</t>
        </is>
      </c>
      <c r="I35" s="20" t="n"/>
    </row>
    <row r="36" ht="34" customHeight="1">
      <c r="A36" s="10" t="inlineStr">
        <is>
          <t>Olimpíadas</t>
        </is>
      </c>
      <c r="B36" s="11" t="inlineStr">
        <is>
          <t>Internacionais</t>
        </is>
      </c>
      <c r="C36" s="12" t="inlineStr">
        <is>
          <t>Cone Sul — Matemática</t>
        </is>
      </c>
      <c r="D36" s="13" t="n"/>
      <c r="E36" s="11" t="inlineStr">
        <is>
          <t>agosto (sede rotativa)</t>
        </is>
      </c>
      <c r="F36" s="11" t="inlineStr">
        <is>
          <t>ARG, BOL, BRA, CHI, EQU, PAR, PER, URU</t>
        </is>
      </c>
      <c r="G36" s="14" t="inlineStr">
        <is>
          <t>obm.org.br</t>
        </is>
      </c>
      <c r="H36" s="13" t="inlineStr">
        <is>
          <t>completo 1988–2026 (até 16 anos)</t>
        </is>
      </c>
      <c r="I36" s="15" t="n"/>
    </row>
    <row r="37" ht="34" customHeight="1">
      <c r="A37" s="10" t="inlineStr">
        <is>
          <t>Olimpíadas</t>
        </is>
      </c>
      <c r="B37" s="16" t="inlineStr">
        <is>
          <t>Internacionais</t>
        </is>
      </c>
      <c r="C37" s="17" t="inlineStr">
        <is>
          <t>Rioplatense — Matemática</t>
        </is>
      </c>
      <c r="D37" s="18" t="n"/>
      <c r="E37" s="16" t="inlineStr">
        <is>
          <t>início de dezembro, geralmente na Argentina</t>
        </is>
      </c>
      <c r="F37" s="16" t="inlineStr">
        <is>
          <t>Bacia do Prata + convidados</t>
        </is>
      </c>
      <c r="G37" s="21" t="inlineStr">
        <is>
          <t>não encontrada</t>
        </is>
      </c>
      <c r="H37" s="18" t="inlineStr">
        <is>
          <t>seleção NÃO passa pela OBM (Cearense + Paulista)</t>
        </is>
      </c>
      <c r="I37" s="20" t="n"/>
    </row>
    <row r="38" ht="34" customHeight="1">
      <c r="A38" s="10" t="inlineStr">
        <is>
          <t>Olimpíadas</t>
        </is>
      </c>
      <c r="B38" s="11" t="inlineStr">
        <is>
          <t>Internacionais</t>
        </is>
      </c>
      <c r="C38" s="12" t="inlineStr">
        <is>
          <t>OIbF — Ibero-americana de Física</t>
        </is>
      </c>
      <c r="D38" s="13" t="n"/>
      <c r="E38" s="11" t="inlineStr">
        <is>
          <t>setembro/outubro (sede rotativa)</t>
        </is>
      </c>
      <c r="F38" s="11" t="inlineStr">
        <is>
          <t>Ibero-americana</t>
        </is>
      </c>
      <c r="G38" s="14" t="inlineStr">
        <is>
          <t>fisica.org.br/~oibf</t>
        </is>
      </c>
      <c r="H38" s="13" t="inlineStr">
        <is>
          <t>hub 1991–2021 + posts 2022–2025</t>
        </is>
      </c>
      <c r="I38" s="15" t="n"/>
    </row>
    <row r="39" ht="34" customHeight="1">
      <c r="A39" s="10" t="inlineStr">
        <is>
          <t>Olimpíadas</t>
        </is>
      </c>
      <c r="B39" s="16" t="inlineStr">
        <is>
          <t>Internacionais</t>
        </is>
      </c>
      <c r="C39" s="17" t="inlineStr">
        <is>
          <t>OIAQ — Ibero-americana de Química</t>
        </is>
      </c>
      <c r="D39" s="18" t="n"/>
      <c r="E39" s="16" t="inlineStr">
        <is>
          <t>outubro (sede rotativa)</t>
        </is>
      </c>
      <c r="F39" s="16" t="inlineStr">
        <is>
          <t>Ibero-americana</t>
        </is>
      </c>
      <c r="G39" s="19" t="inlineStr">
        <is>
          <t>obquimica.org</t>
        </is>
      </c>
      <c r="H39" s="18" t="inlineStr">
        <is>
          <t>galeria vazia · notícia avulsa</t>
        </is>
      </c>
      <c r="I39" s="20" t="n"/>
    </row>
    <row r="40" ht="34" customHeight="1">
      <c r="A40" s="10" t="inlineStr">
        <is>
          <t>Olimpíadas</t>
        </is>
      </c>
      <c r="B40" s="11" t="inlineStr">
        <is>
          <t>Internacionais</t>
        </is>
      </c>
      <c r="C40" s="12" t="inlineStr">
        <is>
          <t>OIAB — Ibero-americana de Biologia</t>
        </is>
      </c>
      <c r="D40" s="13" t="n"/>
      <c r="E40" s="11" t="inlineStr">
        <is>
          <t>agosto/setembro (2026 no Brasil, Butantan)</t>
        </is>
      </c>
      <c r="F40" s="11" t="inlineStr">
        <is>
          <t>Ibero-americana</t>
        </is>
      </c>
      <c r="G40" s="14" t="inlineStr">
        <is>
          <t>cfbio.gov.br</t>
        </is>
      </c>
      <c r="H40" s="13" t="inlineStr">
        <is>
          <t>butantan bloqueado (Cloudflare)</t>
        </is>
      </c>
      <c r="I40" s="15" t="n"/>
    </row>
    <row r="41" ht="34" customHeight="1">
      <c r="A41" s="10" t="inlineStr">
        <is>
          <t>Olimpíadas</t>
        </is>
      </c>
      <c r="B41" s="16" t="inlineStr">
        <is>
          <t>Internacionais</t>
        </is>
      </c>
      <c r="C41" s="17" t="inlineStr">
        <is>
          <t>OII — Ibero-americana de Informática (ex-CIIC)</t>
        </is>
      </c>
      <c r="D41" s="18" t="n"/>
      <c r="E41" s="16" t="inlineStr">
        <is>
          <t>junho/julho</t>
        </is>
      </c>
      <c r="F41" s="16" t="inlineStr">
        <is>
          <t>Ibero-americana · ~14 países</t>
        </is>
      </c>
      <c r="G41" s="19" t="inlineStr">
        <is>
          <t>olimpiada.ic.unicamp.br</t>
        </is>
      </c>
      <c r="H41" s="18" t="inlineStr">
        <is>
          <t>CIIC 2019–2022 + OII 2023–2025</t>
        </is>
      </c>
      <c r="I41" s="20" t="n"/>
    </row>
    <row r="42" ht="34" customHeight="1">
      <c r="A42" s="23" t="inlineStr">
        <is>
          <t>Vestibulares</t>
        </is>
      </c>
      <c r="B42" s="11" t="inlineStr">
        <is>
          <t>Nacionais</t>
        </is>
      </c>
      <c r="C42" s="12" t="inlineStr">
        <is>
          <t>ENEM</t>
        </is>
      </c>
      <c r="D42" s="13" t="n"/>
      <c r="E42" s="11" t="inlineStr">
        <is>
          <t>2 domingos de novembro · nota em janeiro</t>
        </is>
      </c>
      <c r="F42" s="11" t="inlineStr">
        <is>
          <t>Nacional</t>
        </is>
      </c>
      <c r="G42" s="14" t="inlineStr">
        <is>
          <t>enem.inep.gov.br (login)</t>
        </is>
      </c>
      <c r="H42" s="13" t="inlineStr">
        <is>
          <t>não gera lista de aprovados, só nota + SISU</t>
        </is>
      </c>
      <c r="I42" s="15" t="n"/>
    </row>
    <row r="43" ht="34" customHeight="1">
      <c r="A43" s="23" t="inlineStr">
        <is>
          <t>Vestibulares</t>
        </is>
      </c>
      <c r="B43" s="16" t="inlineStr">
        <is>
          <t>Nacionais</t>
        </is>
      </c>
      <c r="C43" s="17" t="inlineStr">
        <is>
          <t>ITA</t>
        </is>
      </c>
      <c r="D43" s="18" t="n"/>
      <c r="E43" s="16" t="inlineStr">
        <is>
          <t>F1 out. · F2 nov/dez · convocados dez/jan</t>
        </is>
      </c>
      <c r="F43" s="16" t="inlineStr">
        <is>
          <t>São José dos Campos-SP</t>
        </is>
      </c>
      <c r="G43" s="19" t="inlineStr">
        <is>
          <t>vestibular.ita.br</t>
        </is>
      </c>
      <c r="H43" s="18" t="inlineStr">
        <is>
          <t>confirmado 2025–2026</t>
        </is>
      </c>
      <c r="I43" s="20" t="n"/>
    </row>
    <row r="44" ht="34" customHeight="1">
      <c r="A44" s="23" t="inlineStr">
        <is>
          <t>Vestibulares</t>
        </is>
      </c>
      <c r="B44" s="11" t="inlineStr">
        <is>
          <t>Nacionais</t>
        </is>
      </c>
      <c r="C44" s="12" t="inlineStr">
        <is>
          <t>IME</t>
        </is>
      </c>
      <c r="D44" s="13" t="n"/>
      <c r="E44" s="11" t="inlineStr">
        <is>
          <t>F1 set. · F2 out. · resultado dez.</t>
        </is>
      </c>
      <c r="F44" s="11" t="inlineStr">
        <is>
          <t>Rio de Janeiro</t>
        </is>
      </c>
      <c r="G44" s="14" t="inlineStr">
        <is>
          <t>ime.eb.mil.br</t>
        </is>
      </c>
      <c r="H44" s="13" t="inlineStr">
        <is>
          <t>sem padrão de URL, checar manualmente</t>
        </is>
      </c>
      <c r="I44" s="15" t="n"/>
    </row>
    <row r="45" ht="34" customHeight="1">
      <c r="A45" s="23" t="inlineStr">
        <is>
          <t>Vestibulares</t>
        </is>
      </c>
      <c r="B45" s="16" t="inlineStr">
        <is>
          <t>Nacionais</t>
        </is>
      </c>
      <c r="C45" s="17" t="inlineStr">
        <is>
          <t>FUVEST (USP)</t>
        </is>
      </c>
      <c r="D45" s="18" t="n"/>
      <c r="E45" s="16" t="inlineStr">
        <is>
          <t>F1 nov. · F2 dez/jan · 1ª chamada jan.</t>
        </is>
      </c>
      <c r="F45" s="16" t="inlineStr">
        <is>
          <t>São Paulo</t>
        </is>
      </c>
      <c r="G45" s="19" t="inlineStr">
        <is>
          <t>acervo.fuvest.br</t>
        </is>
      </c>
      <c r="H45" s="18" t="inlineStr">
        <is>
          <t>erro de certificado automatizado</t>
        </is>
      </c>
      <c r="I45" s="20" t="n"/>
    </row>
    <row r="46" ht="34" customHeight="1">
      <c r="A46" s="23" t="inlineStr">
        <is>
          <t>Vestibulares</t>
        </is>
      </c>
      <c r="B46" s="11" t="inlineStr">
        <is>
          <t>Nacionais</t>
        </is>
      </c>
      <c r="C46" s="12" t="inlineStr">
        <is>
          <t>Comvest (Unicamp)</t>
        </is>
      </c>
      <c r="D46" s="13" t="n"/>
      <c r="E46" s="11" t="inlineStr">
        <is>
          <t>F1 nov. · F2 dez. · 1ª chamada jan.</t>
        </is>
      </c>
      <c r="F46" s="11" t="inlineStr">
        <is>
          <t>Campinas-SP</t>
        </is>
      </c>
      <c r="G46" s="14" t="inlineStr">
        <is>
          <t>comvest.unicamp.br</t>
        </is>
      </c>
      <c r="H46" s="13" t="inlineStr">
        <is>
          <t>2014–2026 confirmado</t>
        </is>
      </c>
      <c r="I46" s="15" t="n"/>
    </row>
    <row r="47" ht="34" customHeight="1">
      <c r="A47" s="23" t="inlineStr">
        <is>
          <t>Vestibulares</t>
        </is>
      </c>
      <c r="B47" s="16" t="inlineStr">
        <is>
          <t>Nacionais</t>
        </is>
      </c>
      <c r="C47" s="17" t="inlineStr">
        <is>
          <t>Vunesp (Unesp)</t>
        </is>
      </c>
      <c r="D47" s="18" t="n"/>
      <c r="E47" s="16" t="inlineStr">
        <is>
          <t>nov/dez · + edição meio do ano em jul.</t>
        </is>
      </c>
      <c r="F47" s="16" t="inlineStr">
        <is>
          <t>SP</t>
        </is>
      </c>
      <c r="G47" s="21" t="inlineStr">
        <is>
          <t>não encontrada</t>
        </is>
      </c>
      <c r="H47" s="18" t="inlineStr">
        <is>
          <t>código muda a cada edição, sem padrão</t>
        </is>
      </c>
      <c r="I47" s="20" t="n"/>
    </row>
    <row r="48" ht="34" customHeight="1">
      <c r="A48" s="23" t="inlineStr">
        <is>
          <t>Vestibulares</t>
        </is>
      </c>
      <c r="B48" s="11" t="inlineStr">
        <is>
          <t>Nacionais</t>
        </is>
      </c>
      <c r="C48" s="12" t="inlineStr">
        <is>
          <t>UFRGS</t>
        </is>
      </c>
      <c r="D48" s="13" t="n"/>
      <c r="E48" s="11" t="inlineStr">
        <is>
          <t>provas nov/dez · listão final em dezembro</t>
        </is>
      </c>
      <c r="F48" s="11" t="inlineStr">
        <is>
          <t>Porto Alegre-RS</t>
        </is>
      </c>
      <c r="G48" s="14" t="inlineStr">
        <is>
          <t>vestibular.ufrgs.br/cv{ano}</t>
        </is>
      </c>
      <c r="H48" s="13" t="inlineStr">
        <is>
          <t>redireciona pro arquivo da COPERSE</t>
        </is>
      </c>
      <c r="I48" s="15" t="n"/>
    </row>
    <row r="49" ht="34" customHeight="1">
      <c r="A49" s="23" t="inlineStr">
        <is>
          <t>Vestibulares</t>
        </is>
      </c>
      <c r="B49" s="16" t="inlineStr">
        <is>
          <t>Nacionais</t>
        </is>
      </c>
      <c r="C49" s="17" t="inlineStr">
        <is>
          <t>Processo Seletivo UFPR</t>
        </is>
      </c>
      <c r="D49" s="18" t="inlineStr">
        <is>
          <t>Organizado pelo Núcleo de Concursos</t>
        </is>
      </c>
      <c r="E49" s="16" t="inlineStr">
        <is>
          <t>inscrição até jun. · prova 2º sem. · result. jan.</t>
        </is>
      </c>
      <c r="F49" s="16" t="inlineStr">
        <is>
          <t>Curitiba-PR</t>
        </is>
      </c>
      <c r="G49" s="19" t="inlineStr">
        <is>
          <t>servicos.nc.ufpr.br</t>
        </is>
      </c>
      <c r="H49" s="18" t="inlineStr">
        <is>
          <t>2002/03 a 2025/26 completo</t>
        </is>
      </c>
      <c r="I49" s="20" t="n"/>
    </row>
    <row r="50" ht="34" customHeight="1">
      <c r="A50" s="23" t="inlineStr">
        <is>
          <t>Vestibulares</t>
        </is>
      </c>
      <c r="B50" s="11" t="inlineStr">
        <is>
          <t>Nacionais</t>
        </is>
      </c>
      <c r="C50" s="12" t="inlineStr">
        <is>
          <t>Mackenzie, FGV, Insper</t>
        </is>
      </c>
      <c r="D50" s="13" t="inlineStr">
        <is>
          <t>Vestibulares próprios de privadas de alta concorrência</t>
        </is>
      </c>
      <c r="E50" s="11" t="inlineStr">
        <is>
          <t>múltiplas datas por curso/campus/semestre</t>
        </is>
      </c>
      <c r="F50" s="11" t="inlineStr">
        <is>
          <t>SP/RJ</t>
        </is>
      </c>
      <c r="G50" s="22" t="inlineStr">
        <is>
          <t>não encontrada</t>
        </is>
      </c>
      <c r="H50" s="13" t="inlineStr">
        <is>
          <t>sem arquivo histórico público</t>
        </is>
      </c>
      <c r="I50" s="15" t="n"/>
    </row>
    <row r="51" ht="34" customHeight="1">
      <c r="A51" s="23" t="inlineStr">
        <is>
          <t>Vestibulares</t>
        </is>
      </c>
      <c r="B51" s="16" t="inlineStr">
        <is>
          <t>Estaduais</t>
        </is>
      </c>
      <c r="C51" s="17" t="inlineStr">
        <is>
          <t>UERJ</t>
        </is>
      </c>
      <c r="D51" s="18" t="n"/>
      <c r="E51" s="16" t="inlineStr">
        <is>
          <t>2 Exames de Qualificação + Discursivo · result. ~jan</t>
        </is>
      </c>
      <c r="F51" s="16" t="inlineStr">
        <is>
          <t>RJ</t>
        </is>
      </c>
      <c r="G51" s="19" t="inlineStr">
        <is>
          <t>vestibular.uerj.br</t>
        </is>
      </c>
      <c r="H51" s="18" t="inlineStr">
        <is>
          <t>sem índice único confirmado</t>
        </is>
      </c>
      <c r="I51" s="20" t="n"/>
    </row>
    <row r="52" ht="34" customHeight="1">
      <c r="A52" s="23" t="inlineStr">
        <is>
          <t>Vestibulares</t>
        </is>
      </c>
      <c r="B52" s="11" t="inlineStr">
        <is>
          <t>Estaduais</t>
        </is>
      </c>
      <c r="C52" s="12" t="inlineStr">
        <is>
          <t>UECE</t>
        </is>
      </c>
      <c r="D52" s="13" t="n"/>
      <c r="E52" s="11" t="inlineStr">
        <is>
          <t>vestibular tradicional 2x/ano (X.1 e X.2)</t>
        </is>
      </c>
      <c r="F52" s="11" t="inlineStr">
        <is>
          <t>CE</t>
        </is>
      </c>
      <c r="G52" s="14" t="inlineStr">
        <is>
          <t>cev.uece.br</t>
        </is>
      </c>
      <c r="H52" s="13" t="inlineStr">
        <is>
          <t>arquivo cronológico paginado</t>
        </is>
      </c>
      <c r="I52" s="15" t="n"/>
    </row>
    <row r="53" ht="34" customHeight="1">
      <c r="A53" s="23" t="inlineStr">
        <is>
          <t>Vestibulares</t>
        </is>
      </c>
      <c r="B53" s="16" t="inlineStr">
        <is>
          <t>Estaduais</t>
        </is>
      </c>
      <c r="C53" s="17" t="inlineStr">
        <is>
          <t>UEA</t>
        </is>
      </c>
      <c r="D53" s="18" t="n"/>
      <c r="E53" s="16" t="inlineStr">
        <is>
          <t>tradicional 1x/ano + SIS seriado</t>
        </is>
      </c>
      <c r="F53" s="16" t="inlineStr">
        <is>
          <t>AM</t>
        </is>
      </c>
      <c r="G53" s="21" t="inlineStr">
        <is>
          <t>não encontrada</t>
        </is>
      </c>
      <c r="H53" s="18" t="inlineStr">
        <is>
          <t>microsite VUNESP com código anual</t>
        </is>
      </c>
      <c r="I53" s="20" t="n"/>
    </row>
    <row r="54" ht="34" customHeight="1">
      <c r="A54" s="23" t="inlineStr">
        <is>
          <t>Vestibulares</t>
        </is>
      </c>
      <c r="B54" s="11" t="inlineStr">
        <is>
          <t>Estaduais</t>
        </is>
      </c>
      <c r="C54" s="12" t="inlineStr">
        <is>
          <t>UPE</t>
        </is>
      </c>
      <c r="D54" s="13" t="inlineStr">
        <is>
          <t>SSA — Sistema Seriado de Avaliação, 3 etapas + SISU</t>
        </is>
      </c>
      <c r="E54" s="11" t="inlineStr">
        <is>
          <t>3 etapas ao longo do médio</t>
        </is>
      </c>
      <c r="F54" s="11" t="inlineStr">
        <is>
          <t>PE</t>
        </is>
      </c>
      <c r="G54" s="14" t="inlineStr">
        <is>
          <t>processodeingresso.upe.pe.gov.br</t>
        </is>
      </c>
      <c r="H54" s="13" t="inlineStr">
        <is>
          <t>seção "anos anteriores"</t>
        </is>
      </c>
      <c r="I54" s="15" t="n"/>
    </row>
    <row r="55" ht="34" customHeight="1">
      <c r="A55" s="23" t="inlineStr">
        <is>
          <t>Vestibulares</t>
        </is>
      </c>
      <c r="B55" s="16" t="inlineStr">
        <is>
          <t>Estaduais</t>
        </is>
      </c>
      <c r="C55" s="17" t="inlineStr">
        <is>
          <t>UEM (PR)</t>
        </is>
      </c>
      <c r="D55" s="18" t="inlineStr">
        <is>
          <t>Vestibular de Verão/Inverno + PAS seriado</t>
        </is>
      </c>
      <c r="E55" s="16" t="inlineStr">
        <is>
          <t>2 vestibulares/ano + PAS por série</t>
        </is>
      </c>
      <c r="F55" s="16" t="inlineStr">
        <is>
          <t>PR</t>
        </is>
      </c>
      <c r="G55" s="19" t="inlineStr">
        <is>
          <t>cvu.uem.br</t>
        </is>
      </c>
      <c r="H55" s="18" t="inlineStr">
        <is>
          <t>resultados desde ~2016</t>
        </is>
      </c>
      <c r="I55" s="20" t="n"/>
    </row>
    <row r="56" ht="34" customHeight="1">
      <c r="A56" s="23" t="inlineStr">
        <is>
          <t>Vestibulares</t>
        </is>
      </c>
      <c r="B56" s="11" t="inlineStr">
        <is>
          <t>Estaduais</t>
        </is>
      </c>
      <c r="C56" s="12" t="inlineStr">
        <is>
          <t>UEL (PR)</t>
        </is>
      </c>
      <c r="D56" s="13" t="inlineStr">
        <is>
          <t>Vestibular 2 fases + PSS seriado</t>
        </is>
      </c>
      <c r="E56" s="11" t="inlineStr">
        <is>
          <t>2 fases</t>
        </is>
      </c>
      <c r="F56" s="11" t="inlineStr">
        <is>
          <t>PR</t>
        </is>
      </c>
      <c r="G56" s="14" t="inlineStr">
        <is>
          <t>cops.uel.br/v2</t>
        </is>
      </c>
      <c r="H56" s="13" t="inlineStr">
        <is>
          <t>índice 2003–2025</t>
        </is>
      </c>
      <c r="I56" s="15" t="n"/>
    </row>
    <row r="57" ht="34" customHeight="1">
      <c r="A57" s="23" t="inlineStr">
        <is>
          <t>Vestibulares</t>
        </is>
      </c>
      <c r="B57" s="16" t="inlineStr">
        <is>
          <t>Estaduais</t>
        </is>
      </c>
      <c r="C57" s="17" t="inlineStr">
        <is>
          <t>UEPG (PR)</t>
        </is>
      </c>
      <c r="D57" s="18" t="inlineStr">
        <is>
          <t>Vestibular + CEPAS/PSS seriado</t>
        </is>
      </c>
      <c r="E57" s="16" t="inlineStr">
        <is>
          <t>datas variam</t>
        </is>
      </c>
      <c r="F57" s="16" t="inlineStr">
        <is>
          <t>PR</t>
        </is>
      </c>
      <c r="G57" s="19" t="inlineStr">
        <is>
          <t>uepg.br/cps</t>
        </is>
      </c>
      <c r="H57" s="18" t="inlineStr">
        <is>
          <t>alcance não confirmado, site migrou</t>
        </is>
      </c>
      <c r="I57" s="20" t="n"/>
    </row>
    <row r="58" ht="34" customHeight="1">
      <c r="A58" s="23" t="inlineStr">
        <is>
          <t>Vestibulares</t>
        </is>
      </c>
      <c r="B58" s="11" t="inlineStr">
        <is>
          <t>Estaduais</t>
        </is>
      </c>
      <c r="C58" s="12" t="inlineStr">
        <is>
          <t>UEPB, UESC, UESB, UNEB</t>
        </is>
      </c>
      <c r="D58" s="13" t="inlineStr">
        <is>
          <t>Vestibulares tradicionais próprios</t>
        </is>
      </c>
      <c r="E58" s="11" t="inlineStr">
        <is>
          <t>resultado ~dez</t>
        </is>
      </c>
      <c r="F58" s="11" t="inlineStr">
        <is>
          <t>PB e BA</t>
        </is>
      </c>
      <c r="G58" s="22" t="inlineStr">
        <is>
          <t>não encontrada</t>
        </is>
      </c>
      <c r="H58" s="13" t="inlineStr">
        <is>
          <t>sem índice consolidado (4 sites distintos)</t>
        </is>
      </c>
      <c r="I58" s="15" t="n"/>
    </row>
    <row r="59" ht="34" customHeight="1">
      <c r="A59" s="23" t="inlineStr">
        <is>
          <t>Vestibulares</t>
        </is>
      </c>
      <c r="B59" s="16" t="inlineStr">
        <is>
          <t>Estaduais</t>
        </is>
      </c>
      <c r="C59" s="17" t="inlineStr">
        <is>
          <t>UEG, UEMS</t>
        </is>
      </c>
      <c r="D59" s="18" t="inlineStr">
        <is>
          <t>Vestibular próprio 2x/ano · UEG tem SAS seriado, UEMS tem ProUEMS via ENEM</t>
        </is>
      </c>
      <c r="E59" s="16" t="inlineStr">
        <is>
          <t>2x/ano</t>
        </is>
      </c>
      <c r="F59" s="16" t="inlineStr">
        <is>
          <t>GO e MS</t>
        </is>
      </c>
      <c r="G59" s="21" t="inlineStr">
        <is>
          <t>não encontrada</t>
        </is>
      </c>
      <c r="H59" s="18" t="inlineStr">
        <is>
          <t>sem índice histórico</t>
        </is>
      </c>
      <c r="I59" s="20" t="n"/>
    </row>
    <row r="60" ht="34" customHeight="1">
      <c r="A60" s="24" t="inlineStr">
        <is>
          <t>Colégios militares</t>
        </is>
      </c>
      <c r="B60" s="11" t="n"/>
      <c r="C60" s="12" t="inlineStr">
        <is>
          <t>Colégio Militar (Exército)</t>
        </is>
      </c>
      <c r="D60" s="13" t="inlineStr">
        <is>
          <t>Vaga de 6º EF ou 1º médio</t>
        </is>
      </c>
      <c r="E60" s="11" t="inlineStr">
        <is>
          <t>edital jul · inscrição ago-set · prova out · result. dez-mar</t>
        </is>
      </c>
      <c r="F60" s="11" t="inlineStr">
        <is>
          <t>15 unidades pelo país</t>
        </is>
      </c>
      <c r="G60" s="14" t="inlineStr">
        <is>
          <t>depa.eb.mil.br</t>
        </is>
      </c>
      <c r="H60" s="13" t="inlineStr">
        <is>
          <t>sem índice único, só ciclo atual/anterior</t>
        </is>
      </c>
      <c r="I60" s="15" t="n"/>
    </row>
    <row r="61" ht="34" customHeight="1">
      <c r="A61" s="24" t="inlineStr">
        <is>
          <t>Colégios militares</t>
        </is>
      </c>
      <c r="B61" s="16" t="n"/>
      <c r="C61" s="17" t="inlineStr">
        <is>
          <t>Colégio Naval</t>
        </is>
      </c>
      <c r="D61" s="18" t="n"/>
      <c r="E61" s="16" t="inlineStr">
        <is>
          <t>inscrição mar-mai · prova ago · resultado dez</t>
        </is>
      </c>
      <c r="F61" s="16" t="inlineStr">
        <is>
          <t>Angra dos Reis-RJ, provas em polos</t>
        </is>
      </c>
      <c r="G61" s="19" t="inlineStr">
        <is>
          <t>inscricao.marinha.mil.br</t>
        </is>
      </c>
      <c r="H61" s="18" t="inlineStr">
        <is>
          <t>PDFs avulsos, domínio bloqueia robô</t>
        </is>
      </c>
      <c r="I61" s="20" t="n"/>
    </row>
    <row r="62" ht="34" customHeight="1">
      <c r="A62" s="24" t="inlineStr">
        <is>
          <t>Colégios militares</t>
        </is>
      </c>
      <c r="B62" s="11" t="n"/>
      <c r="C62" s="12" t="inlineStr">
        <is>
          <t>EPCAR</t>
        </is>
      </c>
      <c r="D62" s="13" t="n"/>
      <c r="E62" s="11" t="inlineStr">
        <is>
          <t>edital jan-mar · inscrição a partir de março</t>
        </is>
      </c>
      <c r="F62" s="11" t="inlineStr">
        <is>
          <t>Barbacena-MG, provas nacionais</t>
        </is>
      </c>
      <c r="G62" s="14" t="inlineStr">
        <is>
          <t>fab.mil.br/ingresso/cpcar</t>
        </is>
      </c>
      <c r="H62" s="13" t="inlineStr">
        <is>
          <t>bloqueia robô, sem arquivo histórico</t>
        </is>
      </c>
      <c r="I62" s="15" t="n"/>
    </row>
    <row r="63" ht="34" customHeight="1">
      <c r="A63" s="25" t="inlineStr">
        <is>
          <t>Concursos de nível médio</t>
        </is>
      </c>
      <c r="B63" s="16" t="inlineStr">
        <is>
          <t>Formação de oficiais</t>
        </is>
      </c>
      <c r="C63" s="17" t="inlineStr">
        <is>
          <t>EsPCEx</t>
        </is>
      </c>
      <c r="D63" s="18" t="inlineStr">
        <is>
          <t>Escola Preparatória de Cadetes do Exército</t>
        </is>
      </c>
      <c r="E63" s="16" t="inlineStr">
        <is>
          <t>edital fev-mar · prova set · resultado dez</t>
        </is>
      </c>
      <c r="F63" s="16" t="inlineStr">
        <is>
          <t>Campinas-SP</t>
        </is>
      </c>
      <c r="G63" s="19" t="inlineStr">
        <is>
          <t>espcex.eb.mil.br</t>
        </is>
      </c>
      <c r="H63" s="18" t="inlineStr">
        <is>
          <t>PDFs avulsos, sem índice único</t>
        </is>
      </c>
      <c r="I63" s="20" t="n"/>
    </row>
    <row r="64" ht="34" customHeight="1">
      <c r="A64" s="25" t="inlineStr">
        <is>
          <t>Concursos de nível médio</t>
        </is>
      </c>
      <c r="B64" s="11" t="inlineStr">
        <is>
          <t>Formação de oficiais</t>
        </is>
      </c>
      <c r="C64" s="12" t="inlineStr">
        <is>
          <t>AFA</t>
        </is>
      </c>
      <c r="D64" s="13" t="inlineStr">
        <is>
          <t>Academia da Força Aérea</t>
        </is>
      </c>
      <c r="E64" s="11" t="inlineStr">
        <is>
          <t>edital fev · inscrição mar-abr</t>
        </is>
      </c>
      <c r="F64" s="11" t="inlineStr">
        <is>
          <t>Pirassununga-SP</t>
        </is>
      </c>
      <c r="G64" s="22" t="inlineStr">
        <is>
          <t>não encontrada</t>
        </is>
      </c>
      <c r="H64" s="13" t="inlineStr">
        <is>
          <t>domínio recusou conexão automatizada</t>
        </is>
      </c>
      <c r="I64" s="15" t="n"/>
    </row>
    <row r="65" ht="34" customHeight="1">
      <c r="A65" s="25" t="inlineStr">
        <is>
          <t>Concursos de nível médio</t>
        </is>
      </c>
      <c r="B65" s="16" t="inlineStr">
        <is>
          <t>Formação de oficiais</t>
        </is>
      </c>
      <c r="C65" s="17" t="inlineStr">
        <is>
          <t>Escola Naval</t>
        </is>
      </c>
      <c r="D65" s="18" t="n"/>
      <c r="E65" s="16" t="inlineStr">
        <is>
          <t>inscrição mar-mai · prova ago · resultado dez</t>
        </is>
      </c>
      <c r="F65" s="16" t="inlineStr">
        <is>
          <t>Rio de Janeiro (Urca)</t>
        </is>
      </c>
      <c r="G65" s="19" t="inlineStr">
        <is>
          <t>inscricao.marinha.mil.br</t>
        </is>
      </c>
      <c r="H65" s="18" t="inlineStr">
        <is>
          <t>PDFs avulsos, sem índice único</t>
        </is>
      </c>
      <c r="I65" s="20" t="n"/>
    </row>
    <row r="66" ht="34" customHeight="1">
      <c r="A66" s="25" t="inlineStr">
        <is>
          <t>Concursos de nível médio</t>
        </is>
      </c>
      <c r="B66" s="11" t="inlineStr">
        <is>
          <t>Formação de oficiais</t>
        </is>
      </c>
      <c r="C66" s="12" t="inlineStr">
        <is>
          <t>EFOMM</t>
        </is>
      </c>
      <c r="D66" s="13" t="inlineStr">
        <is>
          <t>Escola de Formação de Oficiais da Marinha Mercante</t>
        </is>
      </c>
      <c r="E66" s="11" t="inlineStr">
        <is>
          <t>inscrição mai-jun · prova jul · classif. set</t>
        </is>
      </c>
      <c r="F66" s="11" t="inlineStr">
        <is>
          <t>Rio de Janeiro + Belém-PA</t>
        </is>
      </c>
      <c r="G66" s="14" t="inlineStr">
        <is>
          <t>marinha.mil.br/ciaga</t>
        </is>
      </c>
      <c r="H66" s="13" t="inlineStr">
        <is>
          <t>só página do ciclo vigente</t>
        </is>
      </c>
      <c r="I66" s="15" t="n"/>
    </row>
    <row r="67" ht="34" customHeight="1">
      <c r="A67" s="25" t="inlineStr">
        <is>
          <t>Concursos de nível médio</t>
        </is>
      </c>
      <c r="B67" s="16" t="inlineStr">
        <is>
          <t>Sargentos e praças</t>
        </is>
      </c>
      <c r="C67" s="17" t="inlineStr">
        <is>
          <t>ESA</t>
        </is>
      </c>
      <c r="D67" s="18" t="inlineStr">
        <is>
          <t>Escola de Sargentos das Armas · 17-24 anos</t>
        </is>
      </c>
      <c r="E67" s="16" t="inlineStr">
        <is>
          <t>edital abr · inscrição mai-jun · prova ago · result. dez</t>
        </is>
      </c>
      <c r="F67" s="16" t="inlineStr">
        <is>
          <t>Três Corações-MG</t>
        </is>
      </c>
      <c r="G67" s="21" t="inlineStr">
        <is>
          <t>não encontrada</t>
        </is>
      </c>
      <c r="H67" s="18" t="inlineStr">
        <is>
          <t>portal em JS não inspecionável</t>
        </is>
      </c>
      <c r="I67" s="20" t="n"/>
    </row>
    <row r="68" ht="34" customHeight="1">
      <c r="A68" s="25" t="inlineStr">
        <is>
          <t>Concursos de nível médio</t>
        </is>
      </c>
      <c r="B68" s="11" t="inlineStr">
        <is>
          <t>Sargentos e praças</t>
        </is>
      </c>
      <c r="C68" s="12" t="inlineStr">
        <is>
          <t>EEAR</t>
        </is>
      </c>
      <c r="D68" s="13" t="inlineStr">
        <is>
          <t>Escola de Especialistas de Aeronáutica · ~2 concursos/ano</t>
        </is>
      </c>
      <c r="E68" s="11" t="inlineStr">
        <is>
          <t>janelas variam por edição</t>
        </is>
      </c>
      <c r="F68" s="11" t="inlineStr">
        <is>
          <t>Guaratinguetá-SP</t>
        </is>
      </c>
      <c r="G68" s="22" t="inlineStr">
        <is>
          <t>não encontrada</t>
        </is>
      </c>
      <c r="H68" s="13" t="inlineStr">
        <is>
          <t>nenhuma URL oficial confiável localizada</t>
        </is>
      </c>
      <c r="I68" s="15" t="n"/>
    </row>
    <row r="69" ht="34" customHeight="1">
      <c r="A69" s="25" t="inlineStr">
        <is>
          <t>Concursos de nível médio</t>
        </is>
      </c>
      <c r="B69" s="16" t="inlineStr">
        <is>
          <t>Sargentos e praças</t>
        </is>
      </c>
      <c r="C69" s="17" t="inlineStr">
        <is>
          <t>Fuzileiro Naval</t>
        </is>
      </c>
      <c r="D69" s="18" t="inlineStr">
        <is>
          <t>18-22 anos, altura 1,54m-2,00m</t>
        </is>
      </c>
      <c r="E69" s="16" t="inlineStr">
        <is>
          <t>turmas I e II por ano</t>
        </is>
      </c>
      <c r="F69" s="16" t="inlineStr">
        <is>
          <t>Rio de Janeiro + Brasília</t>
        </is>
      </c>
      <c r="G69" s="19" t="inlineStr">
        <is>
          <t>inscricao.marinha.mil.br/marinhafn</t>
        </is>
      </c>
      <c r="H69" s="18" t="inlineStr">
        <is>
          <t>sem lista de aprovados consolidada</t>
        </is>
      </c>
      <c r="I69" s="20" t="n"/>
    </row>
  </sheetData>
  <autoFilter ref="A3:I69"/>
  <mergeCells count="2">
    <mergeCell ref="A1:I1"/>
    <mergeCell ref="A2:I2"/>
  </mergeCells>
  <conditionalFormatting sqref="I4:I69">
    <cfRule type="colorScale" priority="1">
      <colorScale>
        <cfvo type="num" val="1"/>
        <cfvo type="num" val="5"/>
        <color rgb="00FFFFFF"/>
        <color rgb="002F6F6A"/>
      </colorScale>
    </cfRule>
  </conditionalFormatting>
  <dataValidations count="1">
    <dataValidation sqref="I4:I69" showDropDown="0" showInputMessage="0" showErrorMessage="0" allowBlank="1" errorTitle="Score inválido" error="Escolha um número de 1 a 5." promptTitle="Score de importância" prompt="1 = baixa prioridade · 5 = alta prioridade pra captação" type="list">
      <formula1>"1,2,3,4,5"</formula1>
    </dataValidation>
  </dataValidation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7" r:id="rId12"/>
    <hyperlink xmlns:r="http://schemas.openxmlformats.org/officeDocument/2006/relationships" ref="G19" r:id="rId13"/>
    <hyperlink xmlns:r="http://schemas.openxmlformats.org/officeDocument/2006/relationships" ref="G21" r:id="rId14"/>
    <hyperlink xmlns:r="http://schemas.openxmlformats.org/officeDocument/2006/relationships" ref="G23" r:id="rId15"/>
    <hyperlink xmlns:r="http://schemas.openxmlformats.org/officeDocument/2006/relationships" ref="G24" r:id="rId16"/>
    <hyperlink xmlns:r="http://schemas.openxmlformats.org/officeDocument/2006/relationships" ref="G25" r:id="rId17"/>
    <hyperlink xmlns:r="http://schemas.openxmlformats.org/officeDocument/2006/relationships" ref="G26" r:id="rId18"/>
    <hyperlink xmlns:r="http://schemas.openxmlformats.org/officeDocument/2006/relationships" ref="G27" r:id="rId19"/>
    <hyperlink xmlns:r="http://schemas.openxmlformats.org/officeDocument/2006/relationships" ref="G28" r:id="rId20"/>
    <hyperlink xmlns:r="http://schemas.openxmlformats.org/officeDocument/2006/relationships" ref="G29" r:id="rId21"/>
    <hyperlink xmlns:r="http://schemas.openxmlformats.org/officeDocument/2006/relationships" ref="G30" r:id="rId22"/>
    <hyperlink xmlns:r="http://schemas.openxmlformats.org/officeDocument/2006/relationships" ref="G31" r:id="rId23"/>
    <hyperlink xmlns:r="http://schemas.openxmlformats.org/officeDocument/2006/relationships" ref="G32" r:id="rId24"/>
    <hyperlink xmlns:r="http://schemas.openxmlformats.org/officeDocument/2006/relationships" ref="G33" r:id="rId25"/>
    <hyperlink xmlns:r="http://schemas.openxmlformats.org/officeDocument/2006/relationships" ref="G34" r:id="rId26"/>
    <hyperlink xmlns:r="http://schemas.openxmlformats.org/officeDocument/2006/relationships" ref="G35" r:id="rId27"/>
    <hyperlink xmlns:r="http://schemas.openxmlformats.org/officeDocument/2006/relationships" ref="G36" r:id="rId28"/>
    <hyperlink xmlns:r="http://schemas.openxmlformats.org/officeDocument/2006/relationships" ref="G38" r:id="rId29"/>
    <hyperlink xmlns:r="http://schemas.openxmlformats.org/officeDocument/2006/relationships" ref="G39" r:id="rId30"/>
    <hyperlink xmlns:r="http://schemas.openxmlformats.org/officeDocument/2006/relationships" ref="G40" r:id="rId31"/>
    <hyperlink xmlns:r="http://schemas.openxmlformats.org/officeDocument/2006/relationships" ref="G41" r:id="rId32"/>
    <hyperlink xmlns:r="http://schemas.openxmlformats.org/officeDocument/2006/relationships" ref="G42" r:id="rId33"/>
    <hyperlink xmlns:r="http://schemas.openxmlformats.org/officeDocument/2006/relationships" ref="G43" r:id="rId34"/>
    <hyperlink xmlns:r="http://schemas.openxmlformats.org/officeDocument/2006/relationships" ref="G44" r:id="rId35"/>
    <hyperlink xmlns:r="http://schemas.openxmlformats.org/officeDocument/2006/relationships" ref="G45" r:id="rId36"/>
    <hyperlink xmlns:r="http://schemas.openxmlformats.org/officeDocument/2006/relationships" ref="G46" r:id="rId37"/>
    <hyperlink xmlns:r="http://schemas.openxmlformats.org/officeDocument/2006/relationships" ref="G48" r:id="rId38"/>
    <hyperlink xmlns:r="http://schemas.openxmlformats.org/officeDocument/2006/relationships" ref="G49" r:id="rId39"/>
    <hyperlink xmlns:r="http://schemas.openxmlformats.org/officeDocument/2006/relationships" ref="G51" r:id="rId40"/>
    <hyperlink xmlns:r="http://schemas.openxmlformats.org/officeDocument/2006/relationships" ref="G52" r:id="rId41"/>
    <hyperlink xmlns:r="http://schemas.openxmlformats.org/officeDocument/2006/relationships" ref="G54" r:id="rId42"/>
    <hyperlink xmlns:r="http://schemas.openxmlformats.org/officeDocument/2006/relationships" ref="G55" r:id="rId43"/>
    <hyperlink xmlns:r="http://schemas.openxmlformats.org/officeDocument/2006/relationships" ref="G56" r:id="rId44"/>
    <hyperlink xmlns:r="http://schemas.openxmlformats.org/officeDocument/2006/relationships" ref="G57" r:id="rId45"/>
    <hyperlink xmlns:r="http://schemas.openxmlformats.org/officeDocument/2006/relationships" ref="G60" r:id="rId46"/>
    <hyperlink xmlns:r="http://schemas.openxmlformats.org/officeDocument/2006/relationships" ref="G61" r:id="rId47"/>
    <hyperlink xmlns:r="http://schemas.openxmlformats.org/officeDocument/2006/relationships" ref="G62" r:id="rId48"/>
    <hyperlink xmlns:r="http://schemas.openxmlformats.org/officeDocument/2006/relationships" ref="G63" r:id="rId49"/>
    <hyperlink xmlns:r="http://schemas.openxmlformats.org/officeDocument/2006/relationships" ref="G65" r:id="rId50"/>
    <hyperlink xmlns:r="http://schemas.openxmlformats.org/officeDocument/2006/relationships" ref="G66" r:id="rId51"/>
    <hyperlink xmlns:r="http://schemas.openxmlformats.org/officeDocument/2006/relationships" ref="G69" r:id="rId5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 ht="28" customHeight="1">
      <c r="A1" s="6" t="inlineStr">
        <is>
          <t>Resumo</t>
        </is>
      </c>
    </row>
    <row r="3">
      <c r="A3" s="26" t="inlineStr">
        <is>
          <t>Atualiza sozinho conforme a aba “Provas” muda (linhas apagadas ou score preenchido).</t>
        </is>
      </c>
    </row>
    <row r="5" ht="20" customHeight="1">
      <c r="A5" s="8" t="inlineStr">
        <is>
          <t>Categoria</t>
        </is>
      </c>
      <c r="B5" s="27" t="inlineStr">
        <is>
          <t>Provas na lista</t>
        </is>
      </c>
      <c r="C5" s="27" t="inlineStr">
        <is>
          <t>Score médio</t>
        </is>
      </c>
    </row>
    <row r="6">
      <c r="A6" s="28" t="inlineStr">
        <is>
          <t>Olimpíadas</t>
        </is>
      </c>
      <c r="B6" s="29">
        <f>COUNTIF(Provas!$A$4:$A$69,A6)</f>
        <v/>
      </c>
      <c r="C6" s="20">
        <f>IFERROR(ROUND(AVERAGEIFS(Provas!$I$4:$I$69,Provas!$A$4:$A$69,A6,Provas!$I$4:$I$69,"&gt;0"),1),"—")</f>
        <v/>
      </c>
    </row>
    <row r="7">
      <c r="A7" s="30" t="inlineStr">
        <is>
          <t>Vestibulares</t>
        </is>
      </c>
      <c r="B7" s="29">
        <f>COUNTIF(Provas!$A$4:$A$69,A7)</f>
        <v/>
      </c>
      <c r="C7" s="20">
        <f>IFERROR(ROUND(AVERAGEIFS(Provas!$I$4:$I$69,Provas!$A$4:$A$69,A7,Provas!$I$4:$I$69,"&gt;0"),1),"—")</f>
        <v/>
      </c>
    </row>
    <row r="8">
      <c r="A8" s="31" t="inlineStr">
        <is>
          <t>Colégios militares</t>
        </is>
      </c>
      <c r="B8" s="29">
        <f>COUNTIF(Provas!$A$4:$A$69,A8)</f>
        <v/>
      </c>
      <c r="C8" s="20">
        <f>IFERROR(ROUND(AVERAGEIFS(Provas!$I$4:$I$69,Provas!$A$4:$A$69,A8,Provas!$I$4:$I$69,"&gt;0"),1),"—")</f>
        <v/>
      </c>
    </row>
    <row r="9">
      <c r="A9" s="32" t="inlineStr">
        <is>
          <t>Concursos de nível médio</t>
        </is>
      </c>
      <c r="B9" s="29">
        <f>COUNTIF(Provas!$A$4:$A$69,A9)</f>
        <v/>
      </c>
      <c r="C9" s="20">
        <f>IFERROR(ROUND(AVERAGEIFS(Provas!$I$4:$I$69,Provas!$A$4:$A$69,A9,Provas!$I$4:$I$69,"&gt;0"),1),"—")</f>
        <v/>
      </c>
    </row>
    <row r="10">
      <c r="A10" s="33" t="inlineStr">
        <is>
          <t>Total</t>
        </is>
      </c>
      <c r="B10" s="29">
        <f>SUM(B6:B9)</f>
        <v/>
      </c>
      <c r="C10" s="34">
        <f>IFERROR(ROUND(AVERAGEIF(Provas!$I$4:$I$69,"&gt;0"),1),"—")</f>
        <v/>
      </c>
    </row>
    <row r="12">
      <c r="A12" s="35" t="inlineStr">
        <is>
          <t>Com score preenchido</t>
        </is>
      </c>
      <c r="B12" s="36">
        <f>COUNTIF(Provas!$I$4:$I$69,"&gt;0")</f>
        <v/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2026-09-15T22:12:54Z</dcterms:created>
  <dcterms:modified xsi:type="dcterms:W3CDTF">2026-09-15T22:12:54Z</dcterms:modified>
</cp:coreProperties>
</file>